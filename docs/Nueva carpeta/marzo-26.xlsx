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\Clorymetal\Desarrollo\Aplicaciones\erp-workspace\docs\Nueva carpeta\"/>
    </mc:Choice>
  </mc:AlternateContent>
  <xr:revisionPtr revIDLastSave="0" documentId="8_{2744FA12-8905-4065-8DE3-950F244D0424}" xr6:coauthVersionLast="47" xr6:coauthVersionMax="47" xr10:uidLastSave="{00000000-0000-0000-0000-000000000000}"/>
  <bookViews>
    <workbookView xWindow="-120" yWindow="-120" windowWidth="20730" windowHeight="11160" xr2:uid="{BE7F905F-3672-4D97-88FA-9005DAA2BC43}"/>
  </bookViews>
  <sheets>
    <sheet name="Hoja2" sheetId="1" r:id="rId1"/>
  </sheets>
  <externalReferences>
    <externalReference r:id="rId2"/>
    <externalReference r:id="rId3"/>
  </externalReferences>
  <definedNames>
    <definedName name="Doc">'[1]Tipo Doc.'!$A$2:$A$37</definedName>
    <definedName name="Provincia">[1]Provincias!$A$2:$A$26</definedName>
    <definedName name="Tip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7" i="1" l="1"/>
  <c r="Q37" i="1"/>
  <c r="M37" i="1"/>
  <c r="L37" i="1"/>
  <c r="K37" i="1"/>
  <c r="J37" i="1"/>
  <c r="I37" i="1"/>
  <c r="H37" i="1"/>
  <c r="B37" i="1"/>
  <c r="Q36" i="1"/>
  <c r="W36" i="1" s="1"/>
  <c r="M36" i="1"/>
  <c r="L36" i="1"/>
  <c r="K36" i="1"/>
  <c r="J36" i="1"/>
  <c r="I36" i="1"/>
  <c r="H36" i="1"/>
  <c r="B36" i="1"/>
  <c r="W35" i="1"/>
  <c r="Q35" i="1"/>
  <c r="M35" i="1"/>
  <c r="L35" i="1"/>
  <c r="K35" i="1"/>
  <c r="J35" i="1"/>
  <c r="I35" i="1"/>
  <c r="H35" i="1"/>
  <c r="B35" i="1"/>
  <c r="Q34" i="1"/>
  <c r="W34" i="1" s="1"/>
  <c r="M34" i="1"/>
  <c r="L34" i="1"/>
  <c r="K34" i="1"/>
  <c r="J34" i="1"/>
  <c r="I34" i="1"/>
  <c r="H34" i="1"/>
  <c r="B34" i="1"/>
  <c r="W33" i="1"/>
  <c r="Q33" i="1"/>
  <c r="M33" i="1"/>
  <c r="L33" i="1"/>
  <c r="K33" i="1"/>
  <c r="J33" i="1"/>
  <c r="I33" i="1"/>
  <c r="H33" i="1"/>
  <c r="B33" i="1"/>
  <c r="Q32" i="1"/>
  <c r="W32" i="1" s="1"/>
  <c r="M32" i="1"/>
  <c r="L32" i="1"/>
  <c r="K32" i="1"/>
  <c r="J32" i="1"/>
  <c r="I32" i="1"/>
  <c r="H32" i="1"/>
  <c r="B32" i="1"/>
  <c r="Q31" i="1"/>
  <c r="W31" i="1" s="1"/>
  <c r="M31" i="1"/>
  <c r="L31" i="1"/>
  <c r="K31" i="1"/>
  <c r="J31" i="1"/>
  <c r="I31" i="1"/>
  <c r="H31" i="1"/>
  <c r="B31" i="1"/>
  <c r="Q30" i="1"/>
  <c r="M30" i="1"/>
  <c r="L30" i="1"/>
  <c r="K30" i="1"/>
  <c r="J30" i="1"/>
  <c r="I30" i="1"/>
  <c r="H30" i="1"/>
  <c r="B30" i="1"/>
  <c r="W29" i="1"/>
  <c r="Q29" i="1"/>
  <c r="M29" i="1"/>
  <c r="L29" i="1"/>
  <c r="K29" i="1"/>
  <c r="J29" i="1"/>
  <c r="I29" i="1"/>
  <c r="H29" i="1"/>
  <c r="B29" i="1"/>
  <c r="Q28" i="1"/>
  <c r="M28" i="1"/>
  <c r="L28" i="1"/>
  <c r="K28" i="1"/>
  <c r="J28" i="1"/>
  <c r="I28" i="1"/>
  <c r="H28" i="1"/>
  <c r="B28" i="1"/>
  <c r="U27" i="1"/>
  <c r="Q27" i="1"/>
  <c r="W27" i="1" s="1"/>
  <c r="M27" i="1"/>
  <c r="L27" i="1"/>
  <c r="K27" i="1"/>
  <c r="J27" i="1"/>
  <c r="I27" i="1"/>
  <c r="H27" i="1"/>
  <c r="B27" i="1"/>
  <c r="W26" i="1"/>
  <c r="Q26" i="1"/>
  <c r="M26" i="1"/>
  <c r="L26" i="1"/>
  <c r="K26" i="1"/>
  <c r="J26" i="1"/>
  <c r="I26" i="1"/>
  <c r="H26" i="1"/>
  <c r="B26" i="1"/>
  <c r="Q25" i="1"/>
  <c r="W25" i="1" s="1"/>
  <c r="M25" i="1"/>
  <c r="L25" i="1"/>
  <c r="K25" i="1"/>
  <c r="J25" i="1"/>
  <c r="I25" i="1"/>
  <c r="H25" i="1"/>
  <c r="B25" i="1"/>
  <c r="W24" i="1"/>
  <c r="Q24" i="1"/>
  <c r="M24" i="1"/>
  <c r="L24" i="1"/>
  <c r="K24" i="1"/>
  <c r="J24" i="1"/>
  <c r="I24" i="1"/>
  <c r="H24" i="1"/>
  <c r="B24" i="1"/>
  <c r="Q23" i="1"/>
  <c r="W23" i="1" s="1"/>
  <c r="M23" i="1"/>
  <c r="L23" i="1"/>
  <c r="K23" i="1"/>
  <c r="J23" i="1"/>
  <c r="I23" i="1"/>
  <c r="H23" i="1"/>
  <c r="B23" i="1"/>
  <c r="Q22" i="1"/>
  <c r="W22" i="1" s="1"/>
  <c r="M22" i="1"/>
  <c r="L22" i="1"/>
  <c r="K22" i="1"/>
  <c r="J22" i="1"/>
  <c r="I22" i="1"/>
  <c r="H22" i="1"/>
  <c r="B22" i="1"/>
  <c r="W21" i="1"/>
  <c r="Q21" i="1"/>
  <c r="M21" i="1"/>
  <c r="L21" i="1"/>
  <c r="K21" i="1"/>
  <c r="J21" i="1"/>
  <c r="I21" i="1"/>
  <c r="H21" i="1"/>
  <c r="B21" i="1"/>
  <c r="W20" i="1"/>
  <c r="Q20" i="1"/>
  <c r="M20" i="1"/>
  <c r="L20" i="1"/>
  <c r="K20" i="1"/>
  <c r="J20" i="1"/>
  <c r="I20" i="1"/>
  <c r="H20" i="1"/>
  <c r="B20" i="1"/>
  <c r="Q19" i="1"/>
  <c r="W19" i="1" s="1"/>
  <c r="M19" i="1"/>
  <c r="L19" i="1"/>
  <c r="K19" i="1"/>
  <c r="J19" i="1"/>
  <c r="I19" i="1"/>
  <c r="H19" i="1"/>
  <c r="B19" i="1"/>
  <c r="W18" i="1"/>
  <c r="Q18" i="1"/>
  <c r="M18" i="1"/>
  <c r="L18" i="1"/>
  <c r="K18" i="1"/>
  <c r="J18" i="1"/>
  <c r="I18" i="1"/>
  <c r="H18" i="1"/>
  <c r="B18" i="1"/>
  <c r="Q17" i="1"/>
  <c r="W17" i="1" s="1"/>
  <c r="M17" i="1"/>
  <c r="L17" i="1"/>
  <c r="K17" i="1"/>
  <c r="J17" i="1"/>
  <c r="I17" i="1"/>
  <c r="H17" i="1"/>
  <c r="B17" i="1"/>
  <c r="W16" i="1"/>
  <c r="Q16" i="1"/>
  <c r="M16" i="1"/>
  <c r="L16" i="1"/>
  <c r="K16" i="1"/>
  <c r="J16" i="1"/>
  <c r="I16" i="1"/>
  <c r="H16" i="1"/>
  <c r="B16" i="1"/>
  <c r="Q15" i="1"/>
  <c r="W15" i="1" s="1"/>
  <c r="M15" i="1"/>
  <c r="L15" i="1"/>
  <c r="K15" i="1"/>
  <c r="J15" i="1"/>
  <c r="I15" i="1"/>
  <c r="H15" i="1"/>
  <c r="B15" i="1"/>
  <c r="Q14" i="1"/>
  <c r="W14" i="1" s="1"/>
  <c r="M14" i="1"/>
  <c r="L14" i="1"/>
  <c r="K14" i="1"/>
  <c r="J14" i="1"/>
  <c r="I14" i="1"/>
  <c r="H14" i="1"/>
  <c r="B14" i="1"/>
  <c r="W13" i="1"/>
  <c r="Q13" i="1"/>
  <c r="M13" i="1"/>
  <c r="L13" i="1"/>
  <c r="K13" i="1"/>
  <c r="J13" i="1"/>
  <c r="I13" i="1"/>
  <c r="H13" i="1"/>
  <c r="B13" i="1"/>
  <c r="W12" i="1"/>
  <c r="Q12" i="1"/>
  <c r="M12" i="1"/>
  <c r="L12" i="1"/>
  <c r="K12" i="1"/>
  <c r="J12" i="1"/>
  <c r="I12" i="1"/>
  <c r="H12" i="1"/>
  <c r="B12" i="1"/>
  <c r="Q11" i="1"/>
  <c r="W11" i="1" s="1"/>
  <c r="M11" i="1"/>
  <c r="L11" i="1"/>
  <c r="K11" i="1"/>
  <c r="J11" i="1"/>
  <c r="I11" i="1"/>
  <c r="H11" i="1"/>
  <c r="B11" i="1"/>
  <c r="W10" i="1"/>
  <c r="Q10" i="1"/>
  <c r="M10" i="1"/>
  <c r="L10" i="1"/>
  <c r="K10" i="1"/>
  <c r="J10" i="1"/>
  <c r="I10" i="1"/>
  <c r="H10" i="1"/>
  <c r="B10" i="1"/>
  <c r="Q9" i="1"/>
  <c r="W9" i="1" s="1"/>
  <c r="M9" i="1"/>
  <c r="L9" i="1"/>
  <c r="K9" i="1"/>
  <c r="J9" i="1"/>
  <c r="I9" i="1"/>
  <c r="H9" i="1"/>
  <c r="B9" i="1"/>
  <c r="W8" i="1"/>
  <c r="Q8" i="1"/>
  <c r="M8" i="1"/>
  <c r="L8" i="1"/>
  <c r="K8" i="1"/>
  <c r="J8" i="1"/>
  <c r="I8" i="1"/>
  <c r="H8" i="1"/>
  <c r="B8" i="1"/>
  <c r="Q7" i="1"/>
  <c r="W7" i="1" s="1"/>
  <c r="M7" i="1"/>
  <c r="L7" i="1"/>
  <c r="K7" i="1"/>
  <c r="J7" i="1"/>
  <c r="I7" i="1"/>
  <c r="H7" i="1"/>
  <c r="B7" i="1"/>
  <c r="Q6" i="1"/>
  <c r="W6" i="1" s="1"/>
  <c r="M6" i="1"/>
  <c r="L6" i="1"/>
  <c r="K6" i="1"/>
  <c r="J6" i="1"/>
  <c r="I6" i="1"/>
  <c r="H6" i="1"/>
  <c r="B6" i="1"/>
  <c r="W5" i="1"/>
  <c r="Q5" i="1"/>
  <c r="M5" i="1"/>
  <c r="L5" i="1"/>
  <c r="K5" i="1"/>
  <c r="J5" i="1"/>
  <c r="I5" i="1"/>
  <c r="H5" i="1"/>
  <c r="B5" i="1"/>
  <c r="W4" i="1"/>
  <c r="Q4" i="1"/>
  <c r="M4" i="1"/>
  <c r="L4" i="1"/>
  <c r="K4" i="1"/>
  <c r="J4" i="1"/>
  <c r="I4" i="1"/>
  <c r="H4" i="1"/>
  <c r="B4" i="1"/>
  <c r="Q3" i="1"/>
  <c r="W3" i="1" s="1"/>
  <c r="M3" i="1"/>
  <c r="L3" i="1"/>
  <c r="K3" i="1"/>
  <c r="J3" i="1"/>
  <c r="I3" i="1"/>
  <c r="H3" i="1"/>
  <c r="B3" i="1"/>
  <c r="W2" i="1"/>
  <c r="Q2" i="1"/>
  <c r="M2" i="1"/>
  <c r="L2" i="1"/>
  <c r="K2" i="1"/>
  <c r="J2" i="1"/>
  <c r="I2" i="1"/>
  <c r="H2" i="1"/>
  <c r="B2" i="1"/>
</calcChain>
</file>

<file path=xl/sharedStrings.xml><?xml version="1.0" encoding="utf-8"?>
<sst xmlns="http://schemas.openxmlformats.org/spreadsheetml/2006/main" count="95" uniqueCount="26">
  <si>
    <t>Fecha Emisión</t>
  </si>
  <si>
    <t>Fecha Recepción</t>
  </si>
  <si>
    <t>Cpbte</t>
  </si>
  <si>
    <t>Tipo</t>
  </si>
  <si>
    <t>Suc.</t>
  </si>
  <si>
    <t>Número</t>
  </si>
  <si>
    <t>CUIT</t>
  </si>
  <si>
    <t xml:space="preserve">Razón Social o Denominación Cliente </t>
  </si>
  <si>
    <t>Domicilio</t>
  </si>
  <si>
    <t>C.P.</t>
  </si>
  <si>
    <t>Pcia</t>
  </si>
  <si>
    <t>Cond Fisc</t>
  </si>
  <si>
    <t>Cód. Neto</t>
  </si>
  <si>
    <t>Neto Gravado</t>
  </si>
  <si>
    <t>Alíc.</t>
  </si>
  <si>
    <t>IVA Liquidado</t>
  </si>
  <si>
    <t>IVA Débito</t>
  </si>
  <si>
    <t>Cód. NG/EX</t>
  </si>
  <si>
    <t>Conceptos NG/EX</t>
  </si>
  <si>
    <t>Cód. P/R</t>
  </si>
  <si>
    <t>Perc./Ret.</t>
  </si>
  <si>
    <t>Pcia P/R</t>
  </si>
  <si>
    <t>Total</t>
  </si>
  <si>
    <t>Factura</t>
  </si>
  <si>
    <t>A</t>
  </si>
  <si>
    <t>Nota de Credito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</si>
</sst>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0000"/>
    <numFmt numFmtId="166" formatCode="0000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5" fontId="2" fillId="2" borderId="0" xfId="0" applyNumberFormat="1" applyFont="1" applyFill="1" applyAlignment="1">
      <alignment horizontal="center" vertical="center" wrapText="1"/>
    </xf>
    <xf numFmtId="166" fontId="2" fillId="2" borderId="0" xfId="0" applyNumberFormat="1" applyFont="1" applyFill="1" applyAlignment="1">
      <alignment horizontal="center" vertical="center" wrapText="1"/>
    </xf>
    <xf numFmtId="164" fontId="2" fillId="2" borderId="0" xfId="1" applyFont="1" applyFill="1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0" applyNumberFormat="1"/>
    <xf numFmtId="166" fontId="0" fillId="0" borderId="0" xfId="0" applyNumberFormat="1"/>
    <xf numFmtId="164" fontId="0" fillId="0" borderId="0" xfId="1" applyFont="1"/>
  </cellXfs>
  <cellStyles count="2">
    <cellStyle name="Moneda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s/Usuario/Desktop/para%20el%20contador/29-06-2015/HWVenta.xls" TargetMode="External"/><Relationship Id="rId1" Type="http://schemas.openxmlformats.org/officeDocument/2006/relationships/externalLinkPath" Target="/Users/Usuario/Desktop/para%20el%20contador/29-06-2015/HWVenta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Proveedores/Compras/Compras.xlsx" TargetMode="External"/><Relationship Id="rId2" Type="http://schemas.openxmlformats.org/officeDocument/2006/relationships/externalLinkPath" Target="file:///D:\E\Clorymetal\Proveedores\Compras\Compras.xlsx" TargetMode="External"/><Relationship Id="rId1" Type="http://schemas.openxmlformats.org/officeDocument/2006/relationships/externalLinkPath" Target="/E/Clorymetal/Proveedores/Compras/Compr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mprobantes Ventas"/>
      <sheetName val="Provincias"/>
      <sheetName val="Tipo Doc."/>
    </sheetNames>
    <sheetDataSet>
      <sheetData sheetId="0"/>
      <sheetData sheetId="1">
        <row r="2">
          <cell r="A2">
            <v>0</v>
          </cell>
        </row>
        <row r="3">
          <cell r="A3">
            <v>1</v>
          </cell>
        </row>
        <row r="4">
          <cell r="A4">
            <v>2</v>
          </cell>
        </row>
        <row r="5">
          <cell r="A5">
            <v>3</v>
          </cell>
        </row>
        <row r="6">
          <cell r="A6">
            <v>4</v>
          </cell>
        </row>
        <row r="7">
          <cell r="A7">
            <v>5</v>
          </cell>
        </row>
        <row r="8">
          <cell r="A8">
            <v>6</v>
          </cell>
        </row>
        <row r="9">
          <cell r="A9">
            <v>7</v>
          </cell>
        </row>
        <row r="10">
          <cell r="A10">
            <v>8</v>
          </cell>
        </row>
        <row r="11">
          <cell r="A11">
            <v>9</v>
          </cell>
        </row>
        <row r="12">
          <cell r="A12">
            <v>10</v>
          </cell>
        </row>
        <row r="13">
          <cell r="A13">
            <v>11</v>
          </cell>
        </row>
        <row r="14">
          <cell r="A14">
            <v>12</v>
          </cell>
        </row>
        <row r="15">
          <cell r="A15">
            <v>13</v>
          </cell>
        </row>
        <row r="16">
          <cell r="A16">
            <v>14</v>
          </cell>
        </row>
        <row r="17">
          <cell r="A17">
            <v>16</v>
          </cell>
        </row>
        <row r="18">
          <cell r="A18">
            <v>17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>
            <v>20</v>
          </cell>
        </row>
        <row r="22">
          <cell r="A22">
            <v>21</v>
          </cell>
        </row>
        <row r="23">
          <cell r="A23">
            <v>22</v>
          </cell>
        </row>
        <row r="24">
          <cell r="A24">
            <v>23</v>
          </cell>
        </row>
        <row r="25">
          <cell r="A25">
            <v>24</v>
          </cell>
        </row>
        <row r="26">
          <cell r="A26">
            <v>90</v>
          </cell>
        </row>
      </sheetData>
      <sheetData sheetId="2">
        <row r="2">
          <cell r="A2">
            <v>0</v>
          </cell>
        </row>
        <row r="3">
          <cell r="A3">
            <v>1</v>
          </cell>
        </row>
        <row r="4">
          <cell r="A4">
            <v>2</v>
          </cell>
        </row>
        <row r="5">
          <cell r="A5">
            <v>3</v>
          </cell>
        </row>
        <row r="6">
          <cell r="A6">
            <v>4</v>
          </cell>
        </row>
        <row r="7">
          <cell r="A7">
            <v>5</v>
          </cell>
        </row>
        <row r="8">
          <cell r="A8">
            <v>6</v>
          </cell>
        </row>
        <row r="9">
          <cell r="A9">
            <v>7</v>
          </cell>
        </row>
        <row r="10">
          <cell r="A10">
            <v>8</v>
          </cell>
        </row>
        <row r="11">
          <cell r="A11">
            <v>9</v>
          </cell>
        </row>
        <row r="12">
          <cell r="A12">
            <v>10</v>
          </cell>
        </row>
        <row r="13">
          <cell r="A13">
            <v>11</v>
          </cell>
        </row>
        <row r="14">
          <cell r="A14">
            <v>12</v>
          </cell>
        </row>
        <row r="15">
          <cell r="A15">
            <v>13</v>
          </cell>
        </row>
        <row r="16">
          <cell r="A16">
            <v>14</v>
          </cell>
        </row>
        <row r="17">
          <cell r="A17">
            <v>16</v>
          </cell>
        </row>
        <row r="18">
          <cell r="A18">
            <v>17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>
            <v>20</v>
          </cell>
        </row>
        <row r="22">
          <cell r="A22">
            <v>21</v>
          </cell>
        </row>
        <row r="23">
          <cell r="A23">
            <v>22</v>
          </cell>
        </row>
        <row r="24">
          <cell r="A24">
            <v>23</v>
          </cell>
        </row>
        <row r="25">
          <cell r="A25">
            <v>24</v>
          </cell>
        </row>
        <row r="26">
          <cell r="A26">
            <v>80</v>
          </cell>
        </row>
        <row r="27">
          <cell r="A27">
            <v>86</v>
          </cell>
        </row>
        <row r="28">
          <cell r="A28">
            <v>87</v>
          </cell>
        </row>
        <row r="29">
          <cell r="A29">
            <v>89</v>
          </cell>
        </row>
        <row r="30">
          <cell r="A30">
            <v>90</v>
          </cell>
        </row>
        <row r="31">
          <cell r="A31">
            <v>91</v>
          </cell>
        </row>
        <row r="32">
          <cell r="A32">
            <v>92</v>
          </cell>
        </row>
        <row r="33">
          <cell r="A33">
            <v>93</v>
          </cell>
        </row>
        <row r="34">
          <cell r="A34">
            <v>94</v>
          </cell>
        </row>
        <row r="35">
          <cell r="A35">
            <v>95</v>
          </cell>
        </row>
        <row r="36">
          <cell r="A36">
            <v>96</v>
          </cell>
        </row>
        <row r="37">
          <cell r="A37">
            <v>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cturas"/>
      <sheetName val="Facturas (2)"/>
      <sheetName val="Hoja2"/>
      <sheetName val="Deuda por Proveedor"/>
      <sheetName val="Proveedores"/>
      <sheetName val="Parámetros"/>
      <sheetName val="Compras"/>
    </sheetNames>
    <sheetDataSet>
      <sheetData sheetId="0"/>
      <sheetData sheetId="1"/>
      <sheetData sheetId="2"/>
      <sheetData sheetId="3"/>
      <sheetData sheetId="4">
        <row r="1">
          <cell r="A1" t="str">
            <v>CUIT</v>
          </cell>
          <cell r="B1" t="str">
            <v>Nombre</v>
          </cell>
          <cell r="C1" t="str">
            <v>Razón Social</v>
          </cell>
          <cell r="D1" t="str">
            <v>Domicilio</v>
          </cell>
          <cell r="E1" t="str">
            <v>CP</v>
          </cell>
          <cell r="F1" t="str">
            <v>Provincia</v>
          </cell>
          <cell r="G1" t="str">
            <v>Condición Fiscal</v>
          </cell>
          <cell r="H1" t="str">
            <v>Código Neto</v>
          </cell>
          <cell r="I1" t="str">
            <v>Cta Cte</v>
          </cell>
          <cell r="J1" t="str">
            <v>Vencimiento</v>
          </cell>
        </row>
        <row r="2">
          <cell r="A2">
            <v>30621532983</v>
          </cell>
          <cell r="B2" t="str">
            <v>WOLSE SRL</v>
          </cell>
          <cell r="C2" t="str">
            <v>Wolse SRL</v>
          </cell>
          <cell r="D2" t="str">
            <v>AV. MEDRANO 362</v>
          </cell>
          <cell r="E2">
            <v>1179</v>
          </cell>
          <cell r="F2">
            <v>1</v>
          </cell>
          <cell r="G2" t="str">
            <v>RI</v>
          </cell>
          <cell r="H2" t="str">
            <v>CMG</v>
          </cell>
          <cell r="I2" t="str">
            <v>SI</v>
          </cell>
          <cell r="J2">
            <v>30</v>
          </cell>
        </row>
        <row r="3">
          <cell r="A3">
            <v>30709244961</v>
          </cell>
          <cell r="B3" t="str">
            <v xml:space="preserve">CORRADINI SRL </v>
          </cell>
          <cell r="D3" t="str">
            <v>LISANDRO DE LA TORRE 3041</v>
          </cell>
          <cell r="E3">
            <v>1678</v>
          </cell>
          <cell r="F3">
            <v>1</v>
          </cell>
          <cell r="G3" t="str">
            <v>RI</v>
          </cell>
          <cell r="H3" t="str">
            <v>CMG</v>
          </cell>
          <cell r="I3" t="str">
            <v>SI</v>
          </cell>
          <cell r="J3">
            <v>30</v>
          </cell>
        </row>
        <row r="4">
          <cell r="A4">
            <v>33615447639</v>
          </cell>
          <cell r="B4" t="str">
            <v>CHACO RODAMIENTOS SA</v>
          </cell>
          <cell r="D4" t="str">
            <v>RUTA 11 KM 1006,5</v>
          </cell>
          <cell r="E4">
            <v>3500</v>
          </cell>
          <cell r="F4">
            <v>16</v>
          </cell>
          <cell r="G4" t="str">
            <v>RI</v>
          </cell>
          <cell r="H4" t="str">
            <v>CMG</v>
          </cell>
          <cell r="I4" t="str">
            <v>NO</v>
          </cell>
        </row>
        <row r="5">
          <cell r="A5">
            <v>30624289494</v>
          </cell>
          <cell r="B5" t="str">
            <v xml:space="preserve">BELLINI ELECTRICIDAD SRL </v>
          </cell>
          <cell r="D5" t="str">
            <v>AV 25 DE MAYO 1085</v>
          </cell>
          <cell r="E5">
            <v>3500</v>
          </cell>
          <cell r="F5">
            <v>16</v>
          </cell>
          <cell r="G5" t="str">
            <v>RI</v>
          </cell>
          <cell r="H5" t="str">
            <v>CMG</v>
          </cell>
          <cell r="I5" t="str">
            <v>NO</v>
          </cell>
        </row>
        <row r="6">
          <cell r="A6">
            <v>30584462120</v>
          </cell>
          <cell r="B6" t="str">
            <v>DIESEL FRENOS SRL</v>
          </cell>
          <cell r="D6" t="str">
            <v>DEL BARCO CENTENERO 2969</v>
          </cell>
          <cell r="E6">
            <v>1437</v>
          </cell>
          <cell r="F6">
            <v>1</v>
          </cell>
          <cell r="G6" t="str">
            <v>RI</v>
          </cell>
          <cell r="H6" t="str">
            <v>CMG</v>
          </cell>
          <cell r="I6" t="str">
            <v>SI</v>
          </cell>
          <cell r="J6">
            <v>30</v>
          </cell>
        </row>
        <row r="7">
          <cell r="A7">
            <v>33578089239</v>
          </cell>
          <cell r="B7" t="str">
            <v xml:space="preserve">HIJOS DE ROBERTO CANCIO DEMONTE SA </v>
          </cell>
          <cell r="D7" t="str">
            <v>RUTA 12 KM 1026</v>
          </cell>
          <cell r="E7">
            <v>3400</v>
          </cell>
          <cell r="F7">
            <v>4</v>
          </cell>
          <cell r="G7" t="str">
            <v>RI</v>
          </cell>
          <cell r="H7" t="str">
            <v>CFM</v>
          </cell>
          <cell r="I7" t="str">
            <v>SI</v>
          </cell>
        </row>
        <row r="8">
          <cell r="A8">
            <v>30636456248</v>
          </cell>
          <cell r="B8" t="str">
            <v>FRAS LE ARGENTINA SA</v>
          </cell>
          <cell r="D8" t="str">
            <v xml:space="preserve">COL OESTE RUTA PANAMERICANA </v>
          </cell>
          <cell r="E8">
            <v>1619</v>
          </cell>
          <cell r="F8">
            <v>1</v>
          </cell>
          <cell r="G8" t="str">
            <v>RI</v>
          </cell>
          <cell r="H8" t="str">
            <v>CMG</v>
          </cell>
          <cell r="I8" t="str">
            <v>SI</v>
          </cell>
        </row>
        <row r="9">
          <cell r="A9">
            <v>30670195739</v>
          </cell>
          <cell r="B9" t="str">
            <v xml:space="preserve">PITTERI COMERCIAL </v>
          </cell>
          <cell r="D9" t="str">
            <v>25 DE MAYO 1171</v>
          </cell>
          <cell r="E9">
            <v>3500</v>
          </cell>
          <cell r="F9">
            <v>16</v>
          </cell>
          <cell r="G9" t="str">
            <v>RI</v>
          </cell>
          <cell r="H9" t="str">
            <v>CGG</v>
          </cell>
          <cell r="I9" t="str">
            <v>NO</v>
          </cell>
        </row>
        <row r="10">
          <cell r="A10">
            <v>30708925949</v>
          </cell>
          <cell r="B10" t="str">
            <v>FACTORIA AUTOPARTISTA SA</v>
          </cell>
          <cell r="D10" t="str">
            <v>DE LA PALA TL 26 OA</v>
          </cell>
          <cell r="E10">
            <v>1771</v>
          </cell>
          <cell r="F10">
            <v>1</v>
          </cell>
          <cell r="G10" t="str">
            <v>RI</v>
          </cell>
          <cell r="H10" t="str">
            <v>CMG</v>
          </cell>
          <cell r="I10" t="str">
            <v>SI</v>
          </cell>
          <cell r="J10">
            <v>30</v>
          </cell>
        </row>
        <row r="11">
          <cell r="A11">
            <v>23243507839</v>
          </cell>
          <cell r="B11" t="str">
            <v xml:space="preserve">FRECAM </v>
          </cell>
          <cell r="D11" t="str">
            <v>PASAJE CERES 3216</v>
          </cell>
          <cell r="E11">
            <v>2000</v>
          </cell>
          <cell r="F11">
            <v>12</v>
          </cell>
          <cell r="G11" t="str">
            <v>RI</v>
          </cell>
          <cell r="H11" t="str">
            <v>CMG</v>
          </cell>
          <cell r="I11" t="str">
            <v>SI</v>
          </cell>
        </row>
        <row r="12">
          <cell r="A12">
            <v>20448013570</v>
          </cell>
          <cell r="B12" t="str">
            <v>KISZKA JANNICK</v>
          </cell>
          <cell r="D12" t="str">
            <v>25 DE MAYO 3801</v>
          </cell>
          <cell r="E12">
            <v>3514</v>
          </cell>
          <cell r="F12">
            <v>16</v>
          </cell>
          <cell r="G12" t="str">
            <v>RI</v>
          </cell>
          <cell r="H12" t="str">
            <v>CMG</v>
          </cell>
          <cell r="I12" t="str">
            <v>NO</v>
          </cell>
        </row>
        <row r="13">
          <cell r="A13">
            <v>30686978350</v>
          </cell>
          <cell r="B13" t="str">
            <v>SPEED BUSINESS SA</v>
          </cell>
          <cell r="D13" t="str">
            <v xml:space="preserve">FREY CAPELLI 60 </v>
          </cell>
          <cell r="E13">
            <v>3500</v>
          </cell>
          <cell r="F13">
            <v>16</v>
          </cell>
          <cell r="G13" t="str">
            <v>RI</v>
          </cell>
          <cell r="H13" t="str">
            <v>CGG</v>
          </cell>
          <cell r="I13" t="str">
            <v>NO</v>
          </cell>
        </row>
        <row r="14">
          <cell r="A14">
            <v>30670214644</v>
          </cell>
          <cell r="B14" t="str">
            <v xml:space="preserve">PETROAVELLANEDA SRL </v>
          </cell>
          <cell r="D14" t="str">
            <v>RUTA N AVELLANEDA  Y AV VELEZ  S</v>
          </cell>
          <cell r="E14">
            <v>3500</v>
          </cell>
          <cell r="F14">
            <v>16</v>
          </cell>
          <cell r="G14" t="str">
            <v>RI</v>
          </cell>
          <cell r="H14" t="str">
            <v>CGC</v>
          </cell>
          <cell r="I14" t="str">
            <v>NO</v>
          </cell>
        </row>
        <row r="15">
          <cell r="A15">
            <v>30715315544</v>
          </cell>
          <cell r="B15" t="str">
            <v>RG COMERCIAL SA</v>
          </cell>
          <cell r="D15" t="str">
            <v>LUIS FONTI 35</v>
          </cell>
          <cell r="E15">
            <v>2300</v>
          </cell>
          <cell r="F15">
            <v>1</v>
          </cell>
          <cell r="G15" t="str">
            <v>RI</v>
          </cell>
          <cell r="H15" t="str">
            <v>CMG</v>
          </cell>
          <cell r="I15" t="str">
            <v>SI</v>
          </cell>
          <cell r="J15">
            <v>30</v>
          </cell>
        </row>
        <row r="16">
          <cell r="A16">
            <v>30555422659</v>
          </cell>
          <cell r="B16" t="str">
            <v>FRECOM SRL</v>
          </cell>
          <cell r="D16" t="str">
            <v>LAFERRERE GREGORIO D 2651</v>
          </cell>
          <cell r="E16">
            <v>1604</v>
          </cell>
          <cell r="F16">
            <v>1</v>
          </cell>
          <cell r="G16" t="str">
            <v>RI</v>
          </cell>
          <cell r="H16" t="str">
            <v>CMG</v>
          </cell>
          <cell r="I16" t="str">
            <v>SI</v>
          </cell>
          <cell r="J16">
            <v>30</v>
          </cell>
        </row>
        <row r="17">
          <cell r="A17">
            <v>33710568699</v>
          </cell>
          <cell r="B17" t="str">
            <v>BULONERA LUCCA SRL</v>
          </cell>
          <cell r="D17" t="str">
            <v>25 DE MAYO 1775</v>
          </cell>
          <cell r="E17">
            <v>3500</v>
          </cell>
          <cell r="F17">
            <v>16</v>
          </cell>
          <cell r="G17" t="str">
            <v>RI</v>
          </cell>
          <cell r="H17" t="str">
            <v>CMG</v>
          </cell>
          <cell r="I17" t="str">
            <v>NO</v>
          </cell>
        </row>
        <row r="18">
          <cell r="A18">
            <v>20249087638</v>
          </cell>
          <cell r="B18" t="str">
            <v xml:space="preserve">BERTONI JUAN IGNACIO </v>
          </cell>
          <cell r="D18" t="str">
            <v>A 25 DE MAYO 1495</v>
          </cell>
          <cell r="E18">
            <v>3500</v>
          </cell>
          <cell r="F18">
            <v>16</v>
          </cell>
          <cell r="G18" t="str">
            <v>RI</v>
          </cell>
          <cell r="H18" t="str">
            <v>CMG</v>
          </cell>
          <cell r="I18" t="str">
            <v>NO</v>
          </cell>
        </row>
        <row r="19">
          <cell r="A19">
            <v>30570948012</v>
          </cell>
          <cell r="B19" t="str">
            <v>EDITORIAL CHACO SA</v>
          </cell>
          <cell r="D19" t="str">
            <v>PELLEGRINI 744</v>
          </cell>
          <cell r="E19">
            <v>3500</v>
          </cell>
          <cell r="F19">
            <v>16</v>
          </cell>
          <cell r="G19" t="str">
            <v>RI</v>
          </cell>
          <cell r="H19" t="str">
            <v>CPP</v>
          </cell>
          <cell r="I19" t="str">
            <v>NO</v>
          </cell>
        </row>
        <row r="20">
          <cell r="A20">
            <v>30710451571</v>
          </cell>
          <cell r="B20" t="str">
            <v>FRIOMEC SRL</v>
          </cell>
          <cell r="D20" t="str">
            <v>JD PERON 936</v>
          </cell>
          <cell r="E20">
            <v>3500</v>
          </cell>
          <cell r="F20">
            <v>16</v>
          </cell>
          <cell r="G20" t="str">
            <v>RI</v>
          </cell>
          <cell r="H20" t="str">
            <v>CMG</v>
          </cell>
          <cell r="I20" t="str">
            <v>NO</v>
          </cell>
        </row>
        <row r="21">
          <cell r="A21">
            <v>30711522863</v>
          </cell>
          <cell r="B21" t="str">
            <v>RUVIRA SERVICIOS SA</v>
          </cell>
          <cell r="D21" t="str">
            <v>BARUC 2666</v>
          </cell>
          <cell r="E21">
            <v>3500</v>
          </cell>
          <cell r="F21">
            <v>16</v>
          </cell>
          <cell r="G21" t="str">
            <v>RI</v>
          </cell>
          <cell r="H21" t="str">
            <v>CGG</v>
          </cell>
          <cell r="I21" t="str">
            <v>NO</v>
          </cell>
        </row>
        <row r="22">
          <cell r="A22">
            <v>30620177497</v>
          </cell>
          <cell r="B22" t="str">
            <v xml:space="preserve">POSNET SOCIEDAD DE RESONSABILIDAD LIMITADA </v>
          </cell>
          <cell r="D22" t="str">
            <v xml:space="preserve">PERU 143 PISO;2 B°MONSERRAT </v>
          </cell>
          <cell r="E22">
            <v>1067</v>
          </cell>
          <cell r="F22">
            <v>1</v>
          </cell>
          <cell r="G22" t="str">
            <v>RI</v>
          </cell>
          <cell r="H22" t="str">
            <v>GTE</v>
          </cell>
          <cell r="I22" t="str">
            <v>NO</v>
          </cell>
        </row>
        <row r="23">
          <cell r="A23">
            <v>30503606204</v>
          </cell>
          <cell r="B23" t="str">
            <v>FARLOC ARGENTINA SAICYF</v>
          </cell>
          <cell r="D23" t="str">
            <v>COL OESTE RUTA PANAMERICANA 194</v>
          </cell>
          <cell r="E23">
            <v>1619</v>
          </cell>
          <cell r="F23">
            <v>1</v>
          </cell>
          <cell r="G23" t="str">
            <v>RI</v>
          </cell>
          <cell r="H23" t="str">
            <v>CMG</v>
          </cell>
          <cell r="I23" t="str">
            <v>SI</v>
          </cell>
        </row>
        <row r="24">
          <cell r="A24">
            <v>30505079333</v>
          </cell>
          <cell r="B24" t="str">
            <v>FREPILCO SA</v>
          </cell>
          <cell r="D24" t="str">
            <v>PILCOMAYO 1023</v>
          </cell>
          <cell r="E24">
            <v>1823</v>
          </cell>
          <cell r="F24">
            <v>1</v>
          </cell>
          <cell r="G24" t="str">
            <v>RI</v>
          </cell>
          <cell r="H24" t="str">
            <v>CMG</v>
          </cell>
          <cell r="I24" t="str">
            <v>SI</v>
          </cell>
        </row>
        <row r="25">
          <cell r="A25">
            <v>30633006004</v>
          </cell>
          <cell r="B25" t="str">
            <v>HIGINIO BERTONI Y CIA SA</v>
          </cell>
          <cell r="D25" t="str">
            <v>SANTIAGO DEL ESTERO 2415</v>
          </cell>
          <cell r="E25">
            <v>3500</v>
          </cell>
          <cell r="F25">
            <v>16</v>
          </cell>
          <cell r="G25" t="str">
            <v>RI</v>
          </cell>
          <cell r="H25" t="str">
            <v>CMG</v>
          </cell>
          <cell r="I25" t="str">
            <v>NO</v>
          </cell>
        </row>
        <row r="26">
          <cell r="A26">
            <v>20079145514</v>
          </cell>
          <cell r="B26" t="str">
            <v>LUIS A CUADRADO</v>
          </cell>
          <cell r="D26" t="str">
            <v>J. D. PERON 445</v>
          </cell>
          <cell r="E26">
            <v>3500</v>
          </cell>
          <cell r="F26">
            <v>16</v>
          </cell>
          <cell r="G26" t="str">
            <v>RI</v>
          </cell>
          <cell r="H26" t="str">
            <v>RBU</v>
          </cell>
          <cell r="I26" t="str">
            <v>NO</v>
          </cell>
        </row>
        <row r="27">
          <cell r="A27">
            <v>30714714984</v>
          </cell>
          <cell r="B27" t="str">
            <v>LUMINUM SRL</v>
          </cell>
          <cell r="D27" t="str">
            <v>AV SARMIENTO 1798</v>
          </cell>
          <cell r="E27">
            <v>3500</v>
          </cell>
          <cell r="F27">
            <v>16</v>
          </cell>
          <cell r="G27" t="str">
            <v>RI</v>
          </cell>
          <cell r="H27" t="str">
            <v>CGC</v>
          </cell>
          <cell r="I27" t="str">
            <v>NO</v>
          </cell>
        </row>
        <row r="28">
          <cell r="A28">
            <v>20366060902</v>
          </cell>
          <cell r="B28" t="str">
            <v>YEVARA AGUSTIN ALEJANDRO</v>
          </cell>
          <cell r="D28" t="str">
            <v>FRENCH 256</v>
          </cell>
          <cell r="E28">
            <v>3500</v>
          </cell>
          <cell r="F28">
            <v>16</v>
          </cell>
          <cell r="G28" t="str">
            <v>RI</v>
          </cell>
          <cell r="H28" t="str">
            <v>GPU</v>
          </cell>
          <cell r="I28" t="str">
            <v>NO</v>
          </cell>
        </row>
        <row r="29">
          <cell r="A29">
            <v>30710906986</v>
          </cell>
          <cell r="B29" t="str">
            <v>NEO TRUCK SA</v>
          </cell>
          <cell r="D29" t="str">
            <v>FCO SOLANO LOPEZ 2179/83</v>
          </cell>
          <cell r="E29">
            <v>1419</v>
          </cell>
          <cell r="F29">
            <v>1</v>
          </cell>
          <cell r="G29" t="str">
            <v>RI</v>
          </cell>
          <cell r="H29" t="str">
            <v>CMG</v>
          </cell>
          <cell r="I29" t="str">
            <v>SI</v>
          </cell>
        </row>
      </sheetData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376A5-90DB-4EC6-8C98-91D75A6E1853}">
  <dimension ref="A1:W37"/>
  <sheetViews>
    <sheetView tabSelected="1" workbookViewId="0">
      <selection activeCell="V9" sqref="V9"/>
    </sheetView>
  </sheetViews>
  <sheetFormatPr baseColWidth="10" defaultRowHeight="15" x14ac:dyDescent="0.25"/>
  <cols>
    <col min="1" max="1" width="11.28515625" bestFit="1" customWidth="1"/>
    <col min="2" max="2" width="10.85546875" bestFit="1" customWidth="1"/>
    <col min="3" max="3" width="14.5703125" bestFit="1" customWidth="1"/>
    <col min="4" max="5" width="6.85546875" bestFit="1" customWidth="1"/>
    <col min="6" max="6" width="11.140625" bestFit="1" customWidth="1"/>
    <col min="7" max="7" width="12" bestFit="1" customWidth="1"/>
    <col min="8" max="8" width="37.5703125" bestFit="1" customWidth="1"/>
    <col min="9" max="9" width="33.7109375" bestFit="1" customWidth="1"/>
    <col min="10" max="10" width="6.140625" bestFit="1" customWidth="1"/>
    <col min="11" max="11" width="6.85546875" bestFit="1" customWidth="1"/>
    <col min="12" max="12" width="7.7109375" bestFit="1" customWidth="1"/>
    <col min="13" max="13" width="7.28515625" bestFit="1" customWidth="1"/>
    <col min="14" max="14" width="14.140625" bestFit="1" customWidth="1"/>
    <col min="15" max="15" width="6.7109375" bestFit="1" customWidth="1"/>
    <col min="16" max="17" width="12.5703125" bestFit="1" customWidth="1"/>
    <col min="18" max="18" width="9" bestFit="1" customWidth="1"/>
    <col min="19" max="19" width="10.85546875" bestFit="1" customWidth="1"/>
    <col min="20" max="20" width="6.85546875" bestFit="1" customWidth="1"/>
    <col min="21" max="21" width="10.5703125" bestFit="1" customWidth="1"/>
    <col min="22" max="22" width="6.85546875" bestFit="1" customWidth="1"/>
    <col min="23" max="23" width="14.140625" bestFit="1" customWidth="1"/>
  </cols>
  <sheetData>
    <row r="1" spans="1:23" ht="58.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5">
        <v>46083</v>
      </c>
      <c r="B2" s="5">
        <f>IF([2]!Facturas_Compras3[[#This Row],[Fecha Emisión]]&lt;&gt;"",[2]!Facturas_Compras3[[#This Row],[Fecha Emisión]],"")</f>
        <v>46083</v>
      </c>
      <c r="C2" t="s">
        <v>23</v>
      </c>
      <c r="D2" s="6" t="s">
        <v>24</v>
      </c>
      <c r="E2" s="7">
        <v>13</v>
      </c>
      <c r="F2" s="8">
        <v>59448</v>
      </c>
      <c r="G2">
        <v>30633006004</v>
      </c>
      <c r="H2" t="str">
        <f>IF([2]!Facturas_Compras3[[#This Row],[Fecha Emisión]]&lt;&gt;0,VLOOKUP(G2,[2]Proveedores!A:L,2,FALSE),"")</f>
        <v>HIGINIO BERTONI Y CIA SA</v>
      </c>
      <c r="I2" t="str">
        <f>IF([2]!Facturas_Compras3[[#This Row],[Fecha Emisión]]&lt;&gt;0,VLOOKUP($G2,[2]Proveedores!A:L,4,FALSE),"")</f>
        <v>SANTIAGO DEL ESTERO 2415</v>
      </c>
      <c r="J2">
        <f>IF([2]!Facturas_Compras3[[#This Row],[Fecha Emisión]]&lt;&gt;0,VLOOKUP($G2,[2]Proveedores!A:L,5,FALSE),"")</f>
        <v>3500</v>
      </c>
      <c r="K2">
        <f>IF([2]!Facturas_Compras3[[#This Row],[Fecha Emisión]]&lt;&gt;0,VLOOKUP($G2,[2]Proveedores!A:L,6,FALSE),"")</f>
        <v>16</v>
      </c>
      <c r="L2" t="str">
        <f>IF([2]!Facturas_Compras3[[#This Row],[Fecha Emisión]]&lt;&gt;0,VLOOKUP($G2,[2]Proveedores!A:L,7,FALSE),"")</f>
        <v>RI</v>
      </c>
      <c r="M2" t="str">
        <f>IF([2]!Facturas_Compras3[[#This Row],[Fecha Emisión]]&lt;&gt;0,VLOOKUP($G2,[2]Proveedores!A:L,8,FALSE),"")</f>
        <v>CMG</v>
      </c>
      <c r="N2" s="9">
        <v>3702.46</v>
      </c>
      <c r="O2">
        <v>21</v>
      </c>
      <c r="P2" s="9">
        <v>777.52</v>
      </c>
      <c r="Q2" s="9">
        <f>IF([2]!Facturas_Compras3[[#This Row],[Fecha Emisión]]&lt;&gt;"",[2]!Facturas_Compras3[[#This Row],[IVA Liquidado]],"")</f>
        <v>777.52</v>
      </c>
      <c r="U2" s="9"/>
      <c r="V2" s="9"/>
      <c r="W2" s="9">
        <f>IF([2]!Facturas_Compras3[[#This Row],[Fecha Emisión]]&lt;&gt;"",IF(N2&gt;0,SUM(N2,Q2,S2,U2),IF(SUM(S2,U2)&gt;0,(SUM(S2,U2)),"")),"")</f>
        <v>4479.9799999999996</v>
      </c>
    </row>
    <row r="3" spans="1:23" x14ac:dyDescent="0.25">
      <c r="A3" s="5">
        <v>46084</v>
      </c>
      <c r="B3" s="5">
        <f>IF([2]!Facturas_Compras3[[#This Row],[Fecha Emisión]]&lt;&gt;"",[2]!Facturas_Compras3[[#This Row],[Fecha Emisión]],"")</f>
        <v>46084</v>
      </c>
      <c r="C3" t="s">
        <v>23</v>
      </c>
      <c r="D3" s="6" t="s">
        <v>24</v>
      </c>
      <c r="E3" s="7">
        <v>4</v>
      </c>
      <c r="F3" s="8">
        <v>16924</v>
      </c>
      <c r="G3">
        <v>30621532983</v>
      </c>
      <c r="H3" t="str">
        <f>IF([2]!Facturas_Compras3[[#This Row],[Fecha Emisión]]&lt;&gt;0,VLOOKUP(G3,[2]Proveedores!A:L,2,FALSE),"")</f>
        <v>WOLSE SRL</v>
      </c>
      <c r="I3" t="str">
        <f>IF([2]!Facturas_Compras3[[#This Row],[Fecha Emisión]]&lt;&gt;0,VLOOKUP($G3,[2]Proveedores!A:L,4,FALSE),"")</f>
        <v>AV. MEDRANO 362</v>
      </c>
      <c r="J3">
        <f>IF([2]!Facturas_Compras3[[#This Row],[Fecha Emisión]]&lt;&gt;0,VLOOKUP($G3,[2]Proveedores!A:L,5,FALSE),"")</f>
        <v>1179</v>
      </c>
      <c r="K3">
        <f>IF([2]!Facturas_Compras3[[#This Row],[Fecha Emisión]]&lt;&gt;0,VLOOKUP($G3,[2]Proveedores!A:L,6,FALSE),"")</f>
        <v>1</v>
      </c>
      <c r="L3" t="str">
        <f>IF([2]!Facturas_Compras3[[#This Row],[Fecha Emisión]]&lt;&gt;0,VLOOKUP($G3,[2]Proveedores!A:L,7,FALSE),"")</f>
        <v>RI</v>
      </c>
      <c r="M3" t="str">
        <f>IF([2]!Facturas_Compras3[[#This Row],[Fecha Emisión]]&lt;&gt;0,VLOOKUP($G3,[2]Proveedores!A:L,8,FALSE),"")</f>
        <v>CMG</v>
      </c>
      <c r="N3" s="9">
        <v>507298.14</v>
      </c>
      <c r="O3">
        <v>21</v>
      </c>
      <c r="P3" s="9">
        <v>106532.61</v>
      </c>
      <c r="Q3" s="9">
        <f>IF([2]!Facturas_Compras3[[#This Row],[Fecha Emisión]]&lt;&gt;"",[2]!Facturas_Compras3[[#This Row],[IVA Liquidado]],"")</f>
        <v>102505.86</v>
      </c>
      <c r="U3" s="9"/>
      <c r="V3" s="9"/>
      <c r="W3" s="9">
        <f>IF([2]!Facturas_Compras3[[#This Row],[Fecha Emisión]]&lt;&gt;"",IF(N3&gt;0,SUM(N3,Q3,S3,U3),IF(SUM(S3,U3)&gt;0,(SUM(S3,U3)),"")),"")</f>
        <v>609804</v>
      </c>
    </row>
    <row r="4" spans="1:23" x14ac:dyDescent="0.25">
      <c r="A4" s="5">
        <v>46084</v>
      </c>
      <c r="B4" s="5">
        <f>IF([2]!Facturas_Compras3[[#This Row],[Fecha Emisión]]&lt;&gt;"",[2]!Facturas_Compras3[[#This Row],[Fecha Emisión]],"")</f>
        <v>46084</v>
      </c>
      <c r="C4" t="s">
        <v>23</v>
      </c>
      <c r="D4" s="6" t="s">
        <v>24</v>
      </c>
      <c r="E4" s="7">
        <v>4</v>
      </c>
      <c r="F4" s="8">
        <v>16928</v>
      </c>
      <c r="G4">
        <v>30621532983</v>
      </c>
      <c r="H4" t="str">
        <f>IF([2]!Facturas_Compras3[[#This Row],[Fecha Emisión]]&lt;&gt;0,VLOOKUP(G4,[2]Proveedores!A:L,2,FALSE),"")</f>
        <v>WOLSE SRL</v>
      </c>
      <c r="I4" t="str">
        <f>IF([2]!Facturas_Compras3[[#This Row],[Fecha Emisión]]&lt;&gt;0,VLOOKUP($G4,[2]Proveedores!A:L,4,FALSE),"")</f>
        <v>AV. MEDRANO 362</v>
      </c>
      <c r="J4">
        <f>IF([2]!Facturas_Compras3[[#This Row],[Fecha Emisión]]&lt;&gt;0,VLOOKUP($G4,[2]Proveedores!A:L,5,FALSE),"")</f>
        <v>1179</v>
      </c>
      <c r="K4">
        <f>IF([2]!Facturas_Compras3[[#This Row],[Fecha Emisión]]&lt;&gt;0,VLOOKUP($G4,[2]Proveedores!A:L,6,FALSE),"")</f>
        <v>1</v>
      </c>
      <c r="L4" t="str">
        <f>IF([2]!Facturas_Compras3[[#This Row],[Fecha Emisión]]&lt;&gt;0,VLOOKUP($G4,[2]Proveedores!A:L,7,FALSE),"")</f>
        <v>RI</v>
      </c>
      <c r="M4" t="str">
        <f>IF([2]!Facturas_Compras3[[#This Row],[Fecha Emisión]]&lt;&gt;0,VLOOKUP($G4,[2]Proveedores!A:L,8,FALSE),"")</f>
        <v>CMG</v>
      </c>
      <c r="N4" s="9">
        <v>3191.2</v>
      </c>
      <c r="O4">
        <v>21</v>
      </c>
      <c r="P4" s="9">
        <v>670.15</v>
      </c>
      <c r="Q4" s="9">
        <f>IF([2]!Facturas_Compras3[[#This Row],[Fecha Emisión]]&lt;&gt;"",[2]!Facturas_Compras3[[#This Row],[IVA Liquidado]],"")</f>
        <v>106532.61</v>
      </c>
      <c r="U4" s="9"/>
      <c r="V4" s="9"/>
      <c r="W4" s="9">
        <f>IF([2]!Facturas_Compras3[[#This Row],[Fecha Emisión]]&lt;&gt;"",IF(N4&gt;0,SUM(N4,Q4,S4,U4),IF(SUM(S4,U4)&gt;0,(SUM(S4,U4)),"")),"")</f>
        <v>109723.81</v>
      </c>
    </row>
    <row r="5" spans="1:23" x14ac:dyDescent="0.25">
      <c r="A5" s="5">
        <v>46084</v>
      </c>
      <c r="B5" s="5">
        <f>IF([2]!Facturas_Compras3[[#This Row],[Fecha Emisión]]&lt;&gt;"",[2]!Facturas_Compras3[[#This Row],[Fecha Emisión]],"")</f>
        <v>46084</v>
      </c>
      <c r="C5" t="s">
        <v>23</v>
      </c>
      <c r="D5" s="6" t="s">
        <v>24</v>
      </c>
      <c r="E5" s="7">
        <v>1</v>
      </c>
      <c r="F5" s="8">
        <v>103179</v>
      </c>
      <c r="G5">
        <v>30715315544</v>
      </c>
      <c r="H5" t="str">
        <f>IF([2]!Facturas_Compras3[[#This Row],[Fecha Emisión]]&lt;&gt;0,VLOOKUP(G5,[2]Proveedores!A:L,2,FALSE),"")</f>
        <v>RG COMERCIAL SA</v>
      </c>
      <c r="I5" t="str">
        <f>IF([2]!Facturas_Compras3[[#This Row],[Fecha Emisión]]&lt;&gt;0,VLOOKUP($G5,[2]Proveedores!A:L,4,FALSE),"")</f>
        <v>LUIS FONTI 35</v>
      </c>
      <c r="J5">
        <f>IF([2]!Facturas_Compras3[[#This Row],[Fecha Emisión]]&lt;&gt;0,VLOOKUP($G5,[2]Proveedores!A:L,5,FALSE),"")</f>
        <v>2300</v>
      </c>
      <c r="K5">
        <f>IF([2]!Facturas_Compras3[[#This Row],[Fecha Emisión]]&lt;&gt;0,VLOOKUP($G5,[2]Proveedores!A:L,6,FALSE),"")</f>
        <v>1</v>
      </c>
      <c r="L5" t="str">
        <f>IF([2]!Facturas_Compras3[[#This Row],[Fecha Emisión]]&lt;&gt;0,VLOOKUP($G5,[2]Proveedores!A:L,7,FALSE),"")</f>
        <v>RI</v>
      </c>
      <c r="M5" t="str">
        <f>IF([2]!Facturas_Compras3[[#This Row],[Fecha Emisión]]&lt;&gt;0,VLOOKUP($G5,[2]Proveedores!A:L,8,FALSE),"")</f>
        <v>CMG</v>
      </c>
      <c r="N5" s="9">
        <v>1000570.68</v>
      </c>
      <c r="O5">
        <v>21</v>
      </c>
      <c r="P5" s="9">
        <v>210119.84</v>
      </c>
      <c r="Q5" s="9">
        <f>IF([2]!Facturas_Compras3[[#This Row],[Fecha Emisión]]&lt;&gt;"",[2]!Facturas_Compras3[[#This Row],[IVA Liquidado]],"")</f>
        <v>670.15</v>
      </c>
      <c r="U5" s="9"/>
      <c r="V5" s="9"/>
      <c r="W5" s="9">
        <f>IF([2]!Facturas_Compras3[[#This Row],[Fecha Emisión]]&lt;&gt;"",IF(N5&gt;0,SUM(N5,Q5,S5,U5),IF(SUM(S5,U5)&gt;0,(SUM(S5,U5)),"")),"")</f>
        <v>1001240.8300000001</v>
      </c>
    </row>
    <row r="6" spans="1:23" x14ac:dyDescent="0.25">
      <c r="A6" s="5">
        <v>46084</v>
      </c>
      <c r="B6" s="5">
        <f>IF([2]!Facturas_Compras3[[#This Row],[Fecha Emisión]]&lt;&gt;"",[2]!Facturas_Compras3[[#This Row],[Fecha Emisión]],"")</f>
        <v>46084</v>
      </c>
      <c r="C6" t="s">
        <v>23</v>
      </c>
      <c r="D6" s="6" t="s">
        <v>24</v>
      </c>
      <c r="E6" s="7">
        <v>16</v>
      </c>
      <c r="F6" s="8">
        <v>18396</v>
      </c>
      <c r="G6">
        <v>33710568699</v>
      </c>
      <c r="H6" t="str">
        <f>IF([2]!Facturas_Compras3[[#This Row],[Fecha Emisión]]&lt;&gt;0,VLOOKUP(G6,[2]Proveedores!A:L,2,FALSE),"")</f>
        <v>BULONERA LUCCA SRL</v>
      </c>
      <c r="I6" t="str">
        <f>IF([2]!Facturas_Compras3[[#This Row],[Fecha Emisión]]&lt;&gt;0,VLOOKUP($G6,[2]Proveedores!A:L,4,FALSE),"")</f>
        <v>25 DE MAYO 1775</v>
      </c>
      <c r="J6">
        <f>IF([2]!Facturas_Compras3[[#This Row],[Fecha Emisión]]&lt;&gt;0,VLOOKUP($G6,[2]Proveedores!A:L,5,FALSE),"")</f>
        <v>3500</v>
      </c>
      <c r="K6">
        <f>IF([2]!Facturas_Compras3[[#This Row],[Fecha Emisión]]&lt;&gt;0,VLOOKUP($G6,[2]Proveedores!A:L,6,FALSE),"")</f>
        <v>16</v>
      </c>
      <c r="L6" t="str">
        <f>IF([2]!Facturas_Compras3[[#This Row],[Fecha Emisión]]&lt;&gt;0,VLOOKUP($G6,[2]Proveedores!A:L,7,FALSE),"")</f>
        <v>RI</v>
      </c>
      <c r="M6" t="str">
        <f>IF([2]!Facturas_Compras3[[#This Row],[Fecha Emisión]]&lt;&gt;0,VLOOKUP($G6,[2]Proveedores!A:L,8,FALSE),"")</f>
        <v>CMG</v>
      </c>
      <c r="N6" s="9">
        <v>5206.6099999999997</v>
      </c>
      <c r="O6">
        <v>21</v>
      </c>
      <c r="P6" s="9">
        <v>1093.3900000000001</v>
      </c>
      <c r="Q6" s="9">
        <f>IF([2]!Facturas_Compras3[[#This Row],[Fecha Emisión]]&lt;&gt;"",[2]!Facturas_Compras3[[#This Row],[IVA Liquidado]],"")</f>
        <v>210119.84</v>
      </c>
      <c r="U6" s="9"/>
      <c r="V6" s="9"/>
      <c r="W6" s="9">
        <f>IF([2]!Facturas_Compras3[[#This Row],[Fecha Emisión]]&lt;&gt;"",IF(N6&gt;0,SUM(N6,Q6,S6,U6),IF(SUM(S6,U6)&gt;0,(SUM(S6,U6)),"")),"")</f>
        <v>215326.44999999998</v>
      </c>
    </row>
    <row r="7" spans="1:23" x14ac:dyDescent="0.25">
      <c r="A7" s="5">
        <v>46084</v>
      </c>
      <c r="B7" s="5">
        <f>IF([2]!Facturas_Compras3[[#This Row],[Fecha Emisión]]&lt;&gt;"",[2]!Facturas_Compras3[[#This Row],[Fecha Emisión]],"")</f>
        <v>46084</v>
      </c>
      <c r="C7" t="s">
        <v>23</v>
      </c>
      <c r="D7" s="6" t="s">
        <v>24</v>
      </c>
      <c r="E7" s="7">
        <v>4</v>
      </c>
      <c r="F7" s="8">
        <v>16926</v>
      </c>
      <c r="G7">
        <v>30621532983</v>
      </c>
      <c r="H7" t="str">
        <f>IF([2]!Facturas_Compras3[[#This Row],[Fecha Emisión]]&lt;&gt;0,VLOOKUP(G7,[2]Proveedores!A:L,2,FALSE),"")</f>
        <v>WOLSE SRL</v>
      </c>
      <c r="I7" t="str">
        <f>IF([2]!Facturas_Compras3[[#This Row],[Fecha Emisión]]&lt;&gt;0,VLOOKUP($G7,[2]Proveedores!A:L,4,FALSE),"")</f>
        <v>AV. MEDRANO 362</v>
      </c>
      <c r="J7">
        <f>IF([2]!Facturas_Compras3[[#This Row],[Fecha Emisión]]&lt;&gt;0,VLOOKUP($G7,[2]Proveedores!A:L,5,FALSE),"")</f>
        <v>1179</v>
      </c>
      <c r="K7">
        <f>IF([2]!Facturas_Compras3[[#This Row],[Fecha Emisión]]&lt;&gt;0,VLOOKUP($G7,[2]Proveedores!A:L,6,FALSE),"")</f>
        <v>1</v>
      </c>
      <c r="L7" t="str">
        <f>IF([2]!Facturas_Compras3[[#This Row],[Fecha Emisión]]&lt;&gt;0,VLOOKUP($G7,[2]Proveedores!A:L,7,FALSE),"")</f>
        <v>RI</v>
      </c>
      <c r="M7" t="str">
        <f>IF([2]!Facturas_Compras3[[#This Row],[Fecha Emisión]]&lt;&gt;0,VLOOKUP($G7,[2]Proveedores!A:L,8,FALSE),"")</f>
        <v>CMG</v>
      </c>
      <c r="N7" s="9">
        <v>488123.17</v>
      </c>
      <c r="O7">
        <v>21</v>
      </c>
      <c r="P7" s="9">
        <v>102505.86</v>
      </c>
      <c r="Q7" s="9">
        <f>IF([2]!Facturas_Compras3[[#This Row],[Fecha Emisión]]&lt;&gt;"",[2]!Facturas_Compras3[[#This Row],[IVA Liquidado]],"")</f>
        <v>4575.46</v>
      </c>
      <c r="U7" s="9"/>
      <c r="V7" s="9"/>
      <c r="W7" s="9">
        <f>IF([2]!Facturas_Compras3[[#This Row],[Fecha Emisión]]&lt;&gt;"",IF(N7&gt;0,SUM(N7,Q7,S7,U7),IF(SUM(S7,U7)&gt;0,(SUM(S7,U7)),"")),"")</f>
        <v>492698.63</v>
      </c>
    </row>
    <row r="8" spans="1:23" x14ac:dyDescent="0.25">
      <c r="A8" s="5">
        <v>46084</v>
      </c>
      <c r="B8" s="5">
        <f>IF([2]!Facturas_Compras3[[#This Row],[Fecha Emisión]]&lt;&gt;"",[2]!Facturas_Compras3[[#This Row],[Fecha Emisión]],"")</f>
        <v>46084</v>
      </c>
      <c r="C8" t="s">
        <v>23</v>
      </c>
      <c r="D8" s="6" t="s">
        <v>24</v>
      </c>
      <c r="E8" s="7">
        <v>6</v>
      </c>
      <c r="F8" s="8">
        <v>1762483</v>
      </c>
      <c r="G8">
        <v>33578089239</v>
      </c>
      <c r="H8" t="str">
        <f>IF([2]!Facturas_Compras3[[#This Row],[Fecha Emisión]]&lt;&gt;0,VLOOKUP(G8,[2]Proveedores!A:L,2,FALSE),"")</f>
        <v xml:space="preserve">HIJOS DE ROBERTO CANCIO DEMONTE SA </v>
      </c>
      <c r="I8" t="str">
        <f>IF([2]!Facturas_Compras3[[#This Row],[Fecha Emisión]]&lt;&gt;0,VLOOKUP($G8,[2]Proveedores!A:L,4,FALSE),"")</f>
        <v>RUTA 12 KM 1026</v>
      </c>
      <c r="J8">
        <f>IF([2]!Facturas_Compras3[[#This Row],[Fecha Emisión]]&lt;&gt;0,VLOOKUP($G8,[2]Proveedores!A:L,5,FALSE),"")</f>
        <v>3400</v>
      </c>
      <c r="K8">
        <f>IF([2]!Facturas_Compras3[[#This Row],[Fecha Emisión]]&lt;&gt;0,VLOOKUP($G8,[2]Proveedores!A:L,6,FALSE),"")</f>
        <v>4</v>
      </c>
      <c r="L8" t="str">
        <f>IF([2]!Facturas_Compras3[[#This Row],[Fecha Emisión]]&lt;&gt;0,VLOOKUP($G8,[2]Proveedores!A:L,7,FALSE),"")</f>
        <v>RI</v>
      </c>
      <c r="M8" t="str">
        <f>IF([2]!Facturas_Compras3[[#This Row],[Fecha Emisión]]&lt;&gt;0,VLOOKUP($G8,[2]Proveedores!A:L,8,FALSE),"")</f>
        <v>CFM</v>
      </c>
      <c r="N8" s="9">
        <v>21787.89</v>
      </c>
      <c r="O8">
        <v>21</v>
      </c>
      <c r="P8" s="9">
        <v>4575.46</v>
      </c>
      <c r="Q8" s="9">
        <f>IF([2]!Facturas_Compras3[[#This Row],[Fecha Emisión]]&lt;&gt;"",[2]!Facturas_Compras3[[#This Row],[IVA Liquidado]],"")</f>
        <v>1093.3900000000001</v>
      </c>
      <c r="U8" s="9"/>
      <c r="V8" s="9"/>
      <c r="W8" s="9">
        <f>IF([2]!Facturas_Compras3[[#This Row],[Fecha Emisión]]&lt;&gt;"",IF(N8&gt;0,SUM(N8,Q8,S8,U8),IF(SUM(S8,U8)&gt;0,(SUM(S8,U8)),"")),"")</f>
        <v>22881.279999999999</v>
      </c>
    </row>
    <row r="9" spans="1:23" x14ac:dyDescent="0.25">
      <c r="A9" s="5">
        <v>46085</v>
      </c>
      <c r="B9" s="5">
        <f>IF([2]!Facturas_Compras3[[#This Row],[Fecha Emisión]]&lt;&gt;"",[2]!Facturas_Compras3[[#This Row],[Fecha Emisión]],"")</f>
        <v>46085</v>
      </c>
      <c r="C9" t="s">
        <v>23</v>
      </c>
      <c r="D9" s="6" t="s">
        <v>24</v>
      </c>
      <c r="E9" s="7">
        <v>6</v>
      </c>
      <c r="F9" s="8">
        <v>55986</v>
      </c>
      <c r="G9">
        <v>30636456248</v>
      </c>
      <c r="H9" t="str">
        <f>IF([2]!Facturas_Compras3[[#This Row],[Fecha Emisión]]&lt;&gt;0,VLOOKUP(G9,[2]Proveedores!A:L,2,FALSE),"")</f>
        <v>FRAS LE ARGENTINA SA</v>
      </c>
      <c r="I9" t="str">
        <f>IF([2]!Facturas_Compras3[[#This Row],[Fecha Emisión]]&lt;&gt;0,VLOOKUP($G9,[2]Proveedores!A:L,4,FALSE),"")</f>
        <v xml:space="preserve">COL OESTE RUTA PANAMERICANA </v>
      </c>
      <c r="J9">
        <f>IF([2]!Facturas_Compras3[[#This Row],[Fecha Emisión]]&lt;&gt;0,VLOOKUP($G9,[2]Proveedores!A:L,5,FALSE),"")</f>
        <v>1619</v>
      </c>
      <c r="K9">
        <f>IF([2]!Facturas_Compras3[[#This Row],[Fecha Emisión]]&lt;&gt;0,VLOOKUP($G9,[2]Proveedores!A:L,6,FALSE),"")</f>
        <v>1</v>
      </c>
      <c r="L9" t="str">
        <f>IF([2]!Facturas_Compras3[[#This Row],[Fecha Emisión]]&lt;&gt;0,VLOOKUP($G9,[2]Proveedores!A:L,7,FALSE),"")</f>
        <v>RI</v>
      </c>
      <c r="M9" t="str">
        <f>IF([2]!Facturas_Compras3[[#This Row],[Fecha Emisión]]&lt;&gt;0,VLOOKUP($G9,[2]Proveedores!A:L,8,FALSE),"")</f>
        <v>CMG</v>
      </c>
      <c r="N9" s="9">
        <v>3417542.12</v>
      </c>
      <c r="O9">
        <v>21</v>
      </c>
      <c r="P9" s="9">
        <v>717683.85</v>
      </c>
      <c r="Q9" s="9">
        <f>IF([2]!Facturas_Compras3[[#This Row],[Fecha Emisión]]&lt;&gt;"",[2]!Facturas_Compras3[[#This Row],[IVA Liquidado]],"")</f>
        <v>142279.20000000001</v>
      </c>
      <c r="U9" s="9"/>
      <c r="V9" s="9"/>
      <c r="W9" s="9">
        <f>IF([2]!Facturas_Compras3[[#This Row],[Fecha Emisión]]&lt;&gt;"",IF(N9&gt;0,SUM(N9,Q9,S9,U9),IF(SUM(S9,U9)&gt;0,(SUM(S9,U9)),"")),"")</f>
        <v>3559821.3200000003</v>
      </c>
    </row>
    <row r="10" spans="1:23" x14ac:dyDescent="0.25">
      <c r="A10" s="5">
        <v>46085</v>
      </c>
      <c r="B10" s="5">
        <f>IF([2]!Facturas_Compras3[[#This Row],[Fecha Emisión]]&lt;&gt;"",[2]!Facturas_Compras3[[#This Row],[Fecha Emisión]],"")</f>
        <v>46085</v>
      </c>
      <c r="C10" t="s">
        <v>23</v>
      </c>
      <c r="D10" s="6" t="s">
        <v>24</v>
      </c>
      <c r="E10" s="7">
        <v>5000</v>
      </c>
      <c r="F10" s="8">
        <v>1258</v>
      </c>
      <c r="G10">
        <v>30686978350</v>
      </c>
      <c r="H10" t="str">
        <f>IF([2]!Facturas_Compras3[[#This Row],[Fecha Emisión]]&lt;&gt;0,VLOOKUP(G10,[2]Proveedores!A:L,2,FALSE),"")</f>
        <v>SPEED BUSINESS SA</v>
      </c>
      <c r="I10" t="str">
        <f>IF([2]!Facturas_Compras3[[#This Row],[Fecha Emisión]]&lt;&gt;0,VLOOKUP($G10,[2]Proveedores!A:L,4,FALSE),"")</f>
        <v xml:space="preserve">FREY CAPELLI 60 </v>
      </c>
      <c r="J10">
        <f>IF([2]!Facturas_Compras3[[#This Row],[Fecha Emisión]]&lt;&gt;0,VLOOKUP($G10,[2]Proveedores!A:L,5,FALSE),"")</f>
        <v>3500</v>
      </c>
      <c r="K10">
        <f>IF([2]!Facturas_Compras3[[#This Row],[Fecha Emisión]]&lt;&gt;0,VLOOKUP($G10,[2]Proveedores!A:L,6,FALSE),"")</f>
        <v>16</v>
      </c>
      <c r="L10" t="str">
        <f>IF([2]!Facturas_Compras3[[#This Row],[Fecha Emisión]]&lt;&gt;0,VLOOKUP($G10,[2]Proveedores!A:L,7,FALSE),"")</f>
        <v>RI</v>
      </c>
      <c r="M10" t="str">
        <f>IF([2]!Facturas_Compras3[[#This Row],[Fecha Emisión]]&lt;&gt;0,VLOOKUP($G10,[2]Proveedores!A:L,8,FALSE),"")</f>
        <v>CGG</v>
      </c>
      <c r="N10" s="9">
        <v>19254.439999999999</v>
      </c>
      <c r="O10">
        <v>21</v>
      </c>
      <c r="P10" s="9">
        <v>4043.43</v>
      </c>
      <c r="Q10" s="9">
        <f>IF([2]!Facturas_Compras3[[#This Row],[Fecha Emisión]]&lt;&gt;"",[2]!Facturas_Compras3[[#This Row],[IVA Liquidado]],"")</f>
        <v>717683.85</v>
      </c>
      <c r="U10" s="9"/>
      <c r="V10" s="9"/>
      <c r="W10" s="9">
        <f>IF([2]!Facturas_Compras3[[#This Row],[Fecha Emisión]]&lt;&gt;"",IF(N10&gt;0,SUM(N10,Q10,S10,U10),IF(SUM(S10,U10)&gt;0,(SUM(S10,U10)),"")),"")</f>
        <v>736938.28999999992</v>
      </c>
    </row>
    <row r="11" spans="1:23" x14ac:dyDescent="0.25">
      <c r="A11" s="5">
        <v>46085</v>
      </c>
      <c r="B11" s="5">
        <f>IF([2]!Facturas_Compras3[[#This Row],[Fecha Emisión]]&lt;&gt;"",[2]!Facturas_Compras3[[#This Row],[Fecha Emisión]],"")</f>
        <v>46085</v>
      </c>
      <c r="C11" t="s">
        <v>23</v>
      </c>
      <c r="D11" s="6" t="s">
        <v>24</v>
      </c>
      <c r="E11" s="7">
        <v>6</v>
      </c>
      <c r="F11" s="8">
        <v>250753</v>
      </c>
      <c r="G11">
        <v>30708925949</v>
      </c>
      <c r="H11" t="str">
        <f>IF([2]!Facturas_Compras3[[#This Row],[Fecha Emisión]]&lt;&gt;0,VLOOKUP(G11,[2]Proveedores!A:L,2,FALSE),"")</f>
        <v>FACTORIA AUTOPARTISTA SA</v>
      </c>
      <c r="I11" t="str">
        <f>IF([2]!Facturas_Compras3[[#This Row],[Fecha Emisión]]&lt;&gt;0,VLOOKUP($G11,[2]Proveedores!A:L,4,FALSE),"")</f>
        <v>DE LA PALA TL 26 OA</v>
      </c>
      <c r="J11">
        <f>IF([2]!Facturas_Compras3[[#This Row],[Fecha Emisión]]&lt;&gt;0,VLOOKUP($G11,[2]Proveedores!A:L,5,FALSE),"")</f>
        <v>1771</v>
      </c>
      <c r="K11">
        <f>IF([2]!Facturas_Compras3[[#This Row],[Fecha Emisión]]&lt;&gt;0,VLOOKUP($G11,[2]Proveedores!A:L,6,FALSE),"")</f>
        <v>1</v>
      </c>
      <c r="L11" t="str">
        <f>IF([2]!Facturas_Compras3[[#This Row],[Fecha Emisión]]&lt;&gt;0,VLOOKUP($G11,[2]Proveedores!A:L,7,FALSE),"")</f>
        <v>RI</v>
      </c>
      <c r="M11" t="str">
        <f>IF([2]!Facturas_Compras3[[#This Row],[Fecha Emisión]]&lt;&gt;0,VLOOKUP($G11,[2]Proveedores!A:L,8,FALSE),"")</f>
        <v>CMG</v>
      </c>
      <c r="N11" s="9">
        <v>677520</v>
      </c>
      <c r="O11">
        <v>21</v>
      </c>
      <c r="P11" s="9">
        <v>142279.20000000001</v>
      </c>
      <c r="Q11" s="9">
        <f>IF([2]!Facturas_Compras3[[#This Row],[Fecha Emisión]]&lt;&gt;"",[2]!Facturas_Compras3[[#This Row],[IVA Liquidado]],"")</f>
        <v>4043.43</v>
      </c>
      <c r="U11" s="9"/>
      <c r="V11" s="9"/>
      <c r="W11" s="9">
        <f>IF([2]!Facturas_Compras3[[#This Row],[Fecha Emisión]]&lt;&gt;"",IF(N11&gt;0,SUM(N11,Q11,S11,U11),IF(SUM(S11,U11)&gt;0,(SUM(S11,U11)),"")),"")</f>
        <v>681563.43</v>
      </c>
    </row>
    <row r="12" spans="1:23" x14ac:dyDescent="0.25">
      <c r="A12" s="5">
        <v>46086</v>
      </c>
      <c r="B12" s="5">
        <f>IF([2]!Facturas_Compras3[[#This Row],[Fecha Emisión]]&lt;&gt;"",[2]!Facturas_Compras3[[#This Row],[Fecha Emisión]],"")</f>
        <v>46086</v>
      </c>
      <c r="C12" t="s">
        <v>23</v>
      </c>
      <c r="D12" s="6" t="s">
        <v>24</v>
      </c>
      <c r="E12" s="7">
        <v>112</v>
      </c>
      <c r="F12" s="8">
        <v>2745</v>
      </c>
      <c r="G12">
        <v>30503606204</v>
      </c>
      <c r="H12" t="str">
        <f>IF([2]!Facturas_Compras3[[#This Row],[Fecha Emisión]]&lt;&gt;0,VLOOKUP(G12,[2]Proveedores!A:L,2,FALSE),"")</f>
        <v>FARLOC ARGENTINA SAICYF</v>
      </c>
      <c r="I12" t="str">
        <f>IF([2]!Facturas_Compras3[[#This Row],[Fecha Emisión]]&lt;&gt;0,VLOOKUP($G12,[2]Proveedores!A:L,4,FALSE),"")</f>
        <v>COL OESTE RUTA PANAMERICANA 194</v>
      </c>
      <c r="J12">
        <f>IF([2]!Facturas_Compras3[[#This Row],[Fecha Emisión]]&lt;&gt;0,VLOOKUP($G12,[2]Proveedores!A:L,5,FALSE),"")</f>
        <v>1619</v>
      </c>
      <c r="K12">
        <f>IF([2]!Facturas_Compras3[[#This Row],[Fecha Emisión]]&lt;&gt;0,VLOOKUP($G12,[2]Proveedores!A:L,6,FALSE),"")</f>
        <v>1</v>
      </c>
      <c r="L12" t="str">
        <f>IF([2]!Facturas_Compras3[[#This Row],[Fecha Emisión]]&lt;&gt;0,VLOOKUP($G12,[2]Proveedores!A:L,7,FALSE),"")</f>
        <v>RI</v>
      </c>
      <c r="M12" t="str">
        <f>IF([2]!Facturas_Compras3[[#This Row],[Fecha Emisión]]&lt;&gt;0,VLOOKUP($G12,[2]Proveedores!A:L,8,FALSE),"")</f>
        <v>CMG</v>
      </c>
      <c r="N12" s="9">
        <v>202825.06</v>
      </c>
      <c r="O12">
        <v>21</v>
      </c>
      <c r="P12" s="9">
        <v>42593.26</v>
      </c>
      <c r="Q12" s="9">
        <f>IF([2]!Facturas_Compras3[[#This Row],[Fecha Emisión]]&lt;&gt;"",[2]!Facturas_Compras3[[#This Row],[IVA Liquidado]],"")</f>
        <v>39515.53</v>
      </c>
      <c r="U12" s="9"/>
      <c r="V12" s="9"/>
      <c r="W12" s="9">
        <f>IF([2]!Facturas_Compras3[[#This Row],[Fecha Emisión]]&lt;&gt;"",IF(N12&gt;0,SUM(N12,Q12,S12,U12),IF(SUM(S12,U12)&gt;0,(SUM(S12,U12)),"")),"")</f>
        <v>242340.59</v>
      </c>
    </row>
    <row r="13" spans="1:23" x14ac:dyDescent="0.25">
      <c r="A13" s="5">
        <v>46086</v>
      </c>
      <c r="B13" s="5">
        <f>IF([2]!Facturas_Compras3[[#This Row],[Fecha Emisión]]&lt;&gt;"",[2]!Facturas_Compras3[[#This Row],[Fecha Emisión]],"")</f>
        <v>46086</v>
      </c>
      <c r="C13" t="s">
        <v>23</v>
      </c>
      <c r="D13" s="6" t="s">
        <v>24</v>
      </c>
      <c r="E13" s="7">
        <v>8</v>
      </c>
      <c r="F13" s="8">
        <v>12454</v>
      </c>
      <c r="G13">
        <v>30555422659</v>
      </c>
      <c r="H13" t="str">
        <f>IF([2]!Facturas_Compras3[[#This Row],[Fecha Emisión]]&lt;&gt;0,VLOOKUP(G13,[2]Proveedores!A:L,2,FALSE),"")</f>
        <v>FRECOM SRL</v>
      </c>
      <c r="I13" t="str">
        <f>IF([2]!Facturas_Compras3[[#This Row],[Fecha Emisión]]&lt;&gt;0,VLOOKUP($G13,[2]Proveedores!A:L,4,FALSE),"")</f>
        <v>LAFERRERE GREGORIO D 2651</v>
      </c>
      <c r="J13">
        <f>IF([2]!Facturas_Compras3[[#This Row],[Fecha Emisión]]&lt;&gt;0,VLOOKUP($G13,[2]Proveedores!A:L,5,FALSE),"")</f>
        <v>1604</v>
      </c>
      <c r="K13">
        <f>IF([2]!Facturas_Compras3[[#This Row],[Fecha Emisión]]&lt;&gt;0,VLOOKUP($G13,[2]Proveedores!A:L,6,FALSE),"")</f>
        <v>1</v>
      </c>
      <c r="L13" t="str">
        <f>IF([2]!Facturas_Compras3[[#This Row],[Fecha Emisión]]&lt;&gt;0,VLOOKUP($G13,[2]Proveedores!A:L,7,FALSE),"")</f>
        <v>RI</v>
      </c>
      <c r="M13" t="str">
        <f>IF([2]!Facturas_Compras3[[#This Row],[Fecha Emisión]]&lt;&gt;0,VLOOKUP($G13,[2]Proveedores!A:L,8,FALSE),"")</f>
        <v>CMG</v>
      </c>
      <c r="N13" s="9">
        <v>188169.18</v>
      </c>
      <c r="O13">
        <v>21</v>
      </c>
      <c r="P13" s="9">
        <v>39515.53</v>
      </c>
      <c r="Q13" s="9">
        <f>IF([2]!Facturas_Compras3[[#This Row],[Fecha Emisión]]&lt;&gt;"",[2]!Facturas_Compras3[[#This Row],[IVA Liquidado]],"")</f>
        <v>42593.26</v>
      </c>
      <c r="U13" s="9"/>
      <c r="V13" s="9"/>
      <c r="W13" s="9">
        <f>IF([2]!Facturas_Compras3[[#This Row],[Fecha Emisión]]&lt;&gt;"",IF(N13&gt;0,SUM(N13,Q13,S13,U13),IF(SUM(S13,U13)&gt;0,(SUM(S13,U13)),"")),"")</f>
        <v>230762.44</v>
      </c>
    </row>
    <row r="14" spans="1:23" x14ac:dyDescent="0.25">
      <c r="A14" s="5">
        <v>46086</v>
      </c>
      <c r="B14" s="5">
        <f>IF([2]!Facturas_Compras3[[#This Row],[Fecha Emisión]]&lt;&gt;"",[2]!Facturas_Compras3[[#This Row],[Fecha Emisión]],"")</f>
        <v>46086</v>
      </c>
      <c r="C14" t="s">
        <v>23</v>
      </c>
      <c r="D14" s="6" t="s">
        <v>24</v>
      </c>
      <c r="E14" s="7">
        <v>46</v>
      </c>
      <c r="F14" s="8">
        <v>1323</v>
      </c>
      <c r="G14">
        <v>20079145514</v>
      </c>
      <c r="H14" t="str">
        <f>IF([2]!Facturas_Compras3[[#This Row],[Fecha Emisión]]&lt;&gt;0,VLOOKUP(G14,[2]Proveedores!A:L,2,FALSE),"")</f>
        <v>LUIS A CUADRADO</v>
      </c>
      <c r="I14" t="str">
        <f>IF([2]!Facturas_Compras3[[#This Row],[Fecha Emisión]]&lt;&gt;0,VLOOKUP($G14,[2]Proveedores!A:L,4,FALSE),"")</f>
        <v>J. D. PERON 445</v>
      </c>
      <c r="J14">
        <f>IF([2]!Facturas_Compras3[[#This Row],[Fecha Emisión]]&lt;&gt;0,VLOOKUP($G14,[2]Proveedores!A:L,5,FALSE),"")</f>
        <v>3500</v>
      </c>
      <c r="K14">
        <f>IF([2]!Facturas_Compras3[[#This Row],[Fecha Emisión]]&lt;&gt;0,VLOOKUP($G14,[2]Proveedores!A:L,6,FALSE),"")</f>
        <v>16</v>
      </c>
      <c r="L14" t="str">
        <f>IF([2]!Facturas_Compras3[[#This Row],[Fecha Emisión]]&lt;&gt;0,VLOOKUP($G14,[2]Proveedores!A:L,7,FALSE),"")</f>
        <v>RI</v>
      </c>
      <c r="M14" t="str">
        <f>IF([2]!Facturas_Compras3[[#This Row],[Fecha Emisión]]&lt;&gt;0,VLOOKUP($G14,[2]Proveedores!A:L,8,FALSE),"")</f>
        <v>RBU</v>
      </c>
      <c r="N14" s="9">
        <v>57851.24</v>
      </c>
      <c r="O14">
        <v>21</v>
      </c>
      <c r="P14" s="9">
        <v>12148.76</v>
      </c>
      <c r="Q14" s="9">
        <f>IF([2]!Facturas_Compras3[[#This Row],[Fecha Emisión]]&lt;&gt;"",[2]!Facturas_Compras3[[#This Row],[IVA Liquidado]],"")</f>
        <v>133169.82</v>
      </c>
      <c r="U14" s="9"/>
      <c r="V14" s="9"/>
      <c r="W14" s="9">
        <f>IF([2]!Facturas_Compras3[[#This Row],[Fecha Emisión]]&lt;&gt;"",IF(N14&gt;0,SUM(N14,Q14,S14,U14),IF(SUM(S14,U14)&gt;0,(SUM(S14,U14)),"")),"")</f>
        <v>191021.06</v>
      </c>
    </row>
    <row r="15" spans="1:23" x14ac:dyDescent="0.25">
      <c r="A15" s="5">
        <v>46086</v>
      </c>
      <c r="B15" s="5">
        <f>IF([2]!Facturas_Compras3[[#This Row],[Fecha Emisión]]&lt;&gt;"",[2]!Facturas_Compras3[[#This Row],[Fecha Emisión]],"")</f>
        <v>46086</v>
      </c>
      <c r="C15" t="s">
        <v>23</v>
      </c>
      <c r="D15" s="6" t="s">
        <v>24</v>
      </c>
      <c r="E15" s="7">
        <v>46</v>
      </c>
      <c r="F15" s="8">
        <v>1324</v>
      </c>
      <c r="G15">
        <v>20079145514</v>
      </c>
      <c r="H15" t="str">
        <f>IF([2]!Facturas_Compras3[[#This Row],[Fecha Emisión]]&lt;&gt;0,VLOOKUP(G15,[2]Proveedores!A:L,2,FALSE),"")</f>
        <v>LUIS A CUADRADO</v>
      </c>
      <c r="I15" t="str">
        <f>IF([2]!Facturas_Compras3[[#This Row],[Fecha Emisión]]&lt;&gt;0,VLOOKUP($G15,[2]Proveedores!A:L,4,FALSE),"")</f>
        <v>J. D. PERON 445</v>
      </c>
      <c r="J15">
        <f>IF([2]!Facturas_Compras3[[#This Row],[Fecha Emisión]]&lt;&gt;0,VLOOKUP($G15,[2]Proveedores!A:L,5,FALSE),"")</f>
        <v>3500</v>
      </c>
      <c r="K15">
        <f>IF([2]!Facturas_Compras3[[#This Row],[Fecha Emisión]]&lt;&gt;0,VLOOKUP($G15,[2]Proveedores!A:L,6,FALSE),"")</f>
        <v>16</v>
      </c>
      <c r="L15" t="str">
        <f>IF([2]!Facturas_Compras3[[#This Row],[Fecha Emisión]]&lt;&gt;0,VLOOKUP($G15,[2]Proveedores!A:L,7,FALSE),"")</f>
        <v>RI</v>
      </c>
      <c r="M15" t="str">
        <f>IF([2]!Facturas_Compras3[[#This Row],[Fecha Emisión]]&lt;&gt;0,VLOOKUP($G15,[2]Proveedores!A:L,8,FALSE),"")</f>
        <v>RBU</v>
      </c>
      <c r="N15" s="9">
        <v>15246.63</v>
      </c>
      <c r="O15">
        <v>21</v>
      </c>
      <c r="P15" s="9">
        <v>1600.9</v>
      </c>
      <c r="Q15" s="9">
        <f>IF([2]!Facturas_Compras3[[#This Row],[Fecha Emisión]]&lt;&gt;"",[2]!Facturas_Compras3[[#This Row],[IVA Liquidado]],"")</f>
        <v>12148.76</v>
      </c>
      <c r="U15" s="9"/>
      <c r="V15" s="9"/>
      <c r="W15" s="9">
        <f>IF([2]!Facturas_Compras3[[#This Row],[Fecha Emisión]]&lt;&gt;"",IF(N15&gt;0,SUM(N15,Q15,S15,U15),IF(SUM(S15,U15)&gt;0,(SUM(S15,U15)),"")),"")</f>
        <v>27395.39</v>
      </c>
    </row>
    <row r="16" spans="1:23" x14ac:dyDescent="0.25">
      <c r="A16" s="5">
        <v>46086</v>
      </c>
      <c r="B16" s="5">
        <f>IF([2]!Facturas_Compras3[[#This Row],[Fecha Emisión]]&lt;&gt;"",[2]!Facturas_Compras3[[#This Row],[Fecha Emisión]],"")</f>
        <v>46086</v>
      </c>
      <c r="C16" t="s">
        <v>23</v>
      </c>
      <c r="D16" s="6" t="s">
        <v>24</v>
      </c>
      <c r="E16" s="7">
        <v>8</v>
      </c>
      <c r="F16" s="8">
        <v>12463</v>
      </c>
      <c r="G16">
        <v>30555422659</v>
      </c>
      <c r="H16" t="str">
        <f>IF([2]!Facturas_Compras3[[#This Row],[Fecha Emisión]]&lt;&gt;0,VLOOKUP(G16,[2]Proveedores!A:L,2,FALSE),"")</f>
        <v>FRECOM SRL</v>
      </c>
      <c r="I16" t="str">
        <f>IF([2]!Facturas_Compras3[[#This Row],[Fecha Emisión]]&lt;&gt;0,VLOOKUP($G16,[2]Proveedores!A:L,4,FALSE),"")</f>
        <v>LAFERRERE GREGORIO D 2651</v>
      </c>
      <c r="J16">
        <f>IF([2]!Facturas_Compras3[[#This Row],[Fecha Emisión]]&lt;&gt;0,VLOOKUP($G16,[2]Proveedores!A:L,5,FALSE),"")</f>
        <v>1604</v>
      </c>
      <c r="K16">
        <f>IF([2]!Facturas_Compras3[[#This Row],[Fecha Emisión]]&lt;&gt;0,VLOOKUP($G16,[2]Proveedores!A:L,6,FALSE),"")</f>
        <v>1</v>
      </c>
      <c r="L16" t="str">
        <f>IF([2]!Facturas_Compras3[[#This Row],[Fecha Emisión]]&lt;&gt;0,VLOOKUP($G16,[2]Proveedores!A:L,7,FALSE),"")</f>
        <v>RI</v>
      </c>
      <c r="M16" t="str">
        <f>IF([2]!Facturas_Compras3[[#This Row],[Fecha Emisión]]&lt;&gt;0,VLOOKUP($G16,[2]Proveedores!A:L,8,FALSE),"")</f>
        <v>CMG</v>
      </c>
      <c r="N16" s="9">
        <v>634141.99</v>
      </c>
      <c r="O16">
        <v>21</v>
      </c>
      <c r="P16" s="9">
        <v>133169.82</v>
      </c>
      <c r="Q16" s="9">
        <f>IF([2]!Facturas_Compras3[[#This Row],[Fecha Emisión]]&lt;&gt;"",[2]!Facturas_Compras3[[#This Row],[IVA Liquidado]],"")</f>
        <v>1600.9</v>
      </c>
      <c r="U16" s="9"/>
      <c r="V16" s="9"/>
      <c r="W16" s="9">
        <f>IF([2]!Facturas_Compras3[[#This Row],[Fecha Emisión]]&lt;&gt;"",IF(N16&gt;0,SUM(N16,Q16,S16,U16),IF(SUM(S16,U16)&gt;0,(SUM(S16,U16)),"")),"")</f>
        <v>635742.89</v>
      </c>
    </row>
    <row r="17" spans="1:23" x14ac:dyDescent="0.25">
      <c r="A17" s="5">
        <v>46086</v>
      </c>
      <c r="B17" s="5">
        <f>IF([2]!Facturas_Compras3[[#This Row],[Fecha Emisión]]&lt;&gt;"",[2]!Facturas_Compras3[[#This Row],[Fecha Emisión]],"")</f>
        <v>46086</v>
      </c>
      <c r="C17" t="s">
        <v>23</v>
      </c>
      <c r="D17" s="6" t="s">
        <v>24</v>
      </c>
      <c r="E17" s="7">
        <v>5000</v>
      </c>
      <c r="F17" s="8">
        <v>1298</v>
      </c>
      <c r="G17">
        <v>30686978350</v>
      </c>
      <c r="H17" t="str">
        <f>IF([2]!Facturas_Compras3[[#This Row],[Fecha Emisión]]&lt;&gt;0,VLOOKUP(G17,[2]Proveedores!A:L,2,FALSE),"")</f>
        <v>SPEED BUSINESS SA</v>
      </c>
      <c r="I17" t="str">
        <f>IF([2]!Facturas_Compras3[[#This Row],[Fecha Emisión]]&lt;&gt;0,VLOOKUP($G17,[2]Proveedores!A:L,4,FALSE),"")</f>
        <v xml:space="preserve">FREY CAPELLI 60 </v>
      </c>
      <c r="J17">
        <f>IF([2]!Facturas_Compras3[[#This Row],[Fecha Emisión]]&lt;&gt;0,VLOOKUP($G17,[2]Proveedores!A:L,5,FALSE),"")</f>
        <v>3500</v>
      </c>
      <c r="K17">
        <f>IF([2]!Facturas_Compras3[[#This Row],[Fecha Emisión]]&lt;&gt;0,VLOOKUP($G17,[2]Proveedores!A:L,6,FALSE),"")</f>
        <v>16</v>
      </c>
      <c r="L17" t="str">
        <f>IF([2]!Facturas_Compras3[[#This Row],[Fecha Emisión]]&lt;&gt;0,VLOOKUP($G17,[2]Proveedores!A:L,7,FALSE),"")</f>
        <v>RI</v>
      </c>
      <c r="M17" t="str">
        <f>IF([2]!Facturas_Compras3[[#This Row],[Fecha Emisión]]&lt;&gt;0,VLOOKUP($G17,[2]Proveedores!A:L,8,FALSE),"")</f>
        <v>CGG</v>
      </c>
      <c r="N17" s="9">
        <v>19254.439999999999</v>
      </c>
      <c r="O17">
        <v>21</v>
      </c>
      <c r="P17" s="9">
        <v>4043.43</v>
      </c>
      <c r="Q17" s="9">
        <f>IF([2]!Facturas_Compras3[[#This Row],[Fecha Emisión]]&lt;&gt;"",[2]!Facturas_Compras3[[#This Row],[IVA Liquidado]],"")</f>
        <v>4733.1899999999996</v>
      </c>
      <c r="U17" s="9"/>
      <c r="V17" s="9"/>
      <c r="W17" s="9">
        <f>IF([2]!Facturas_Compras3[[#This Row],[Fecha Emisión]]&lt;&gt;"",IF(N17&gt;0,SUM(N17,Q17,S17,U17),IF(SUM(S17,U17)&gt;0,(SUM(S17,U17)),"")),"")</f>
        <v>23987.629999999997</v>
      </c>
    </row>
    <row r="18" spans="1:23" x14ac:dyDescent="0.25">
      <c r="A18" s="5">
        <v>46086</v>
      </c>
      <c r="B18" s="5">
        <f>IF([2]!Facturas_Compras3[[#This Row],[Fecha Emisión]]&lt;&gt;"",[2]!Facturas_Compras3[[#This Row],[Fecha Emisión]],"")</f>
        <v>46086</v>
      </c>
      <c r="C18" t="s">
        <v>23</v>
      </c>
      <c r="D18" s="6" t="s">
        <v>24</v>
      </c>
      <c r="E18" s="7">
        <v>6</v>
      </c>
      <c r="F18" s="8">
        <v>1763641</v>
      </c>
      <c r="G18">
        <v>33578089239</v>
      </c>
      <c r="H18" t="str">
        <f>IF([2]!Facturas_Compras3[[#This Row],[Fecha Emisión]]&lt;&gt;0,VLOOKUP(G18,[2]Proveedores!A:L,2,FALSE),"")</f>
        <v xml:space="preserve">HIJOS DE ROBERTO CANCIO DEMONTE SA </v>
      </c>
      <c r="I18" t="str">
        <f>IF([2]!Facturas_Compras3[[#This Row],[Fecha Emisión]]&lt;&gt;0,VLOOKUP($G18,[2]Proveedores!A:L,4,FALSE),"")</f>
        <v>RUTA 12 KM 1026</v>
      </c>
      <c r="J18">
        <f>IF([2]!Facturas_Compras3[[#This Row],[Fecha Emisión]]&lt;&gt;0,VLOOKUP($G18,[2]Proveedores!A:L,5,FALSE),"")</f>
        <v>3400</v>
      </c>
      <c r="K18">
        <f>IF([2]!Facturas_Compras3[[#This Row],[Fecha Emisión]]&lt;&gt;0,VLOOKUP($G18,[2]Proveedores!A:L,6,FALSE),"")</f>
        <v>4</v>
      </c>
      <c r="L18" t="str">
        <f>IF([2]!Facturas_Compras3[[#This Row],[Fecha Emisión]]&lt;&gt;0,VLOOKUP($G18,[2]Proveedores!A:L,7,FALSE),"")</f>
        <v>RI</v>
      </c>
      <c r="M18" t="str">
        <f>IF([2]!Facturas_Compras3[[#This Row],[Fecha Emisión]]&lt;&gt;0,VLOOKUP($G18,[2]Proveedores!A:L,8,FALSE),"")</f>
        <v>CFM</v>
      </c>
      <c r="N18" s="9">
        <v>17905.07</v>
      </c>
      <c r="O18">
        <v>21</v>
      </c>
      <c r="P18" s="9">
        <v>3760.06</v>
      </c>
      <c r="Q18" s="9">
        <f>IF([2]!Facturas_Compras3[[#This Row],[Fecha Emisión]]&lt;&gt;"",[2]!Facturas_Compras3[[#This Row],[IVA Liquidado]],"")</f>
        <v>3760.06</v>
      </c>
      <c r="U18" s="9"/>
      <c r="V18" s="9"/>
      <c r="W18" s="9">
        <f>IF([2]!Facturas_Compras3[[#This Row],[Fecha Emisión]]&lt;&gt;"",IF(N18&gt;0,SUM(N18,Q18,S18,U18),IF(SUM(S18,U18)&gt;0,(SUM(S18,U18)),"")),"")</f>
        <v>21665.13</v>
      </c>
    </row>
    <row r="19" spans="1:23" x14ac:dyDescent="0.25">
      <c r="A19" s="5">
        <v>46086</v>
      </c>
      <c r="B19" s="5">
        <f>IF([2]!Facturas_Compras3[[#This Row],[Fecha Emisión]]&lt;&gt;"",[2]!Facturas_Compras3[[#This Row],[Fecha Emisión]],"")</f>
        <v>46086</v>
      </c>
      <c r="C19" t="s">
        <v>23</v>
      </c>
      <c r="D19" s="6" t="s">
        <v>24</v>
      </c>
      <c r="E19" s="7">
        <v>6</v>
      </c>
      <c r="F19" s="8">
        <v>1763796</v>
      </c>
      <c r="G19">
        <v>33578089239</v>
      </c>
      <c r="H19" t="str">
        <f>IF([2]!Facturas_Compras3[[#This Row],[Fecha Emisión]]&lt;&gt;0,VLOOKUP(G19,[2]Proveedores!A:L,2,FALSE),"")</f>
        <v xml:space="preserve">HIJOS DE ROBERTO CANCIO DEMONTE SA </v>
      </c>
      <c r="I19" t="str">
        <f>IF([2]!Facturas_Compras3[[#This Row],[Fecha Emisión]]&lt;&gt;0,VLOOKUP($G19,[2]Proveedores!A:L,4,FALSE),"")</f>
        <v>RUTA 12 KM 1026</v>
      </c>
      <c r="J19">
        <f>IF([2]!Facturas_Compras3[[#This Row],[Fecha Emisión]]&lt;&gt;0,VLOOKUP($G19,[2]Proveedores!A:L,5,FALSE),"")</f>
        <v>3400</v>
      </c>
      <c r="K19">
        <f>IF([2]!Facturas_Compras3[[#This Row],[Fecha Emisión]]&lt;&gt;0,VLOOKUP($G19,[2]Proveedores!A:L,6,FALSE),"")</f>
        <v>4</v>
      </c>
      <c r="L19" t="str">
        <f>IF([2]!Facturas_Compras3[[#This Row],[Fecha Emisión]]&lt;&gt;0,VLOOKUP($G19,[2]Proveedores!A:L,7,FALSE),"")</f>
        <v>RI</v>
      </c>
      <c r="M19" t="str">
        <f>IF([2]!Facturas_Compras3[[#This Row],[Fecha Emisión]]&lt;&gt;0,VLOOKUP($G19,[2]Proveedores!A:L,8,FALSE),"")</f>
        <v>CFM</v>
      </c>
      <c r="N19" s="9">
        <v>22539.01</v>
      </c>
      <c r="O19">
        <v>21</v>
      </c>
      <c r="P19" s="9">
        <v>4733.1899999999996</v>
      </c>
      <c r="Q19" s="9">
        <f>IF([2]!Facturas_Compras3[[#This Row],[Fecha Emisión]]&lt;&gt;"",[2]!Facturas_Compras3[[#This Row],[IVA Liquidado]],"")</f>
        <v>4043.43</v>
      </c>
      <c r="U19" s="9"/>
      <c r="V19" s="9"/>
      <c r="W19" s="9">
        <f>IF([2]!Facturas_Compras3[[#This Row],[Fecha Emisión]]&lt;&gt;"",IF(N19&gt;0,SUM(N19,Q19,S19,U19),IF(SUM(S19,U19)&gt;0,(SUM(S19,U19)),"")),"")</f>
        <v>26582.44</v>
      </c>
    </row>
    <row r="20" spans="1:23" x14ac:dyDescent="0.25">
      <c r="A20" s="5">
        <v>46087</v>
      </c>
      <c r="B20" s="5">
        <f>IF([2]!Facturas_Compras3[[#This Row],[Fecha Emisión]]&lt;&gt;"",[2]!Facturas_Compras3[[#This Row],[Fecha Emisión]],"")</f>
        <v>46087</v>
      </c>
      <c r="C20" t="s">
        <v>23</v>
      </c>
      <c r="D20" s="6" t="s">
        <v>24</v>
      </c>
      <c r="E20" s="7">
        <v>3</v>
      </c>
      <c r="F20" s="8">
        <v>15753</v>
      </c>
      <c r="G20">
        <v>30709244961</v>
      </c>
      <c r="H20" t="str">
        <f>IF([2]!Facturas_Compras3[[#This Row],[Fecha Emisión]]&lt;&gt;0,VLOOKUP(G20,[2]Proveedores!A:L,2,FALSE),"")</f>
        <v xml:space="preserve">CORRADINI SRL </v>
      </c>
      <c r="I20" t="str">
        <f>IF([2]!Facturas_Compras3[[#This Row],[Fecha Emisión]]&lt;&gt;0,VLOOKUP($G20,[2]Proveedores!A:L,4,FALSE),"")</f>
        <v>LISANDRO DE LA TORRE 3041</v>
      </c>
      <c r="J20">
        <f>IF([2]!Facturas_Compras3[[#This Row],[Fecha Emisión]]&lt;&gt;0,VLOOKUP($G20,[2]Proveedores!A:L,5,FALSE),"")</f>
        <v>1678</v>
      </c>
      <c r="K20">
        <f>IF([2]!Facturas_Compras3[[#This Row],[Fecha Emisión]]&lt;&gt;0,VLOOKUP($G20,[2]Proveedores!A:L,6,FALSE),"")</f>
        <v>1</v>
      </c>
      <c r="L20" t="str">
        <f>IF([2]!Facturas_Compras3[[#This Row],[Fecha Emisión]]&lt;&gt;0,VLOOKUP($G20,[2]Proveedores!A:L,7,FALSE),"")</f>
        <v>RI</v>
      </c>
      <c r="M20" t="str">
        <f>IF([2]!Facturas_Compras3[[#This Row],[Fecha Emisión]]&lt;&gt;0,VLOOKUP($G20,[2]Proveedores!A:L,8,FALSE),"")</f>
        <v>CMG</v>
      </c>
      <c r="N20" s="9">
        <v>822137.12</v>
      </c>
      <c r="O20">
        <v>21</v>
      </c>
      <c r="P20" s="9">
        <v>172648.8</v>
      </c>
      <c r="Q20" s="9">
        <f>IF([2]!Facturas_Compras3[[#This Row],[Fecha Emisión]]&lt;&gt;"",[2]!Facturas_Compras3[[#This Row],[IVA Liquidado]],"")</f>
        <v>172648.8</v>
      </c>
      <c r="U20" s="9"/>
      <c r="V20" s="9"/>
      <c r="W20" s="9">
        <f>IF([2]!Facturas_Compras3[[#This Row],[Fecha Emisión]]&lt;&gt;"",IF(N20&gt;0,SUM(N20,Q20,S20,U20),IF(SUM(S20,U20)&gt;0,(SUM(S20,U20)),"")),"")</f>
        <v>994785.91999999993</v>
      </c>
    </row>
    <row r="21" spans="1:23" x14ac:dyDescent="0.25">
      <c r="A21" s="5">
        <v>46087</v>
      </c>
      <c r="B21" s="5">
        <f>IF([2]!Facturas_Compras3[[#This Row],[Fecha Emisión]]&lt;&gt;"",[2]!Facturas_Compras3[[#This Row],[Fecha Emisión]],"")</f>
        <v>46087</v>
      </c>
      <c r="C21" t="s">
        <v>23</v>
      </c>
      <c r="D21" s="6" t="s">
        <v>24</v>
      </c>
      <c r="E21" s="7">
        <v>6</v>
      </c>
      <c r="F21" s="8">
        <v>251105</v>
      </c>
      <c r="G21">
        <v>30708925949</v>
      </c>
      <c r="H21" t="str">
        <f>IF([2]!Facturas_Compras3[[#This Row],[Fecha Emisión]]&lt;&gt;0,VLOOKUP(G21,[2]Proveedores!A:L,2,FALSE),"")</f>
        <v>FACTORIA AUTOPARTISTA SA</v>
      </c>
      <c r="I21" t="str">
        <f>IF([2]!Facturas_Compras3[[#This Row],[Fecha Emisión]]&lt;&gt;0,VLOOKUP($G21,[2]Proveedores!A:L,4,FALSE),"")</f>
        <v>DE LA PALA TL 26 OA</v>
      </c>
      <c r="J21">
        <f>IF([2]!Facturas_Compras3[[#This Row],[Fecha Emisión]]&lt;&gt;0,VLOOKUP($G21,[2]Proveedores!A:L,5,FALSE),"")</f>
        <v>1771</v>
      </c>
      <c r="K21">
        <f>IF([2]!Facturas_Compras3[[#This Row],[Fecha Emisión]]&lt;&gt;0,VLOOKUP($G21,[2]Proveedores!A:L,6,FALSE),"")</f>
        <v>1</v>
      </c>
      <c r="L21" t="str">
        <f>IF([2]!Facturas_Compras3[[#This Row],[Fecha Emisión]]&lt;&gt;0,VLOOKUP($G21,[2]Proveedores!A:L,7,FALSE),"")</f>
        <v>RI</v>
      </c>
      <c r="M21" t="str">
        <f>IF([2]!Facturas_Compras3[[#This Row],[Fecha Emisión]]&lt;&gt;0,VLOOKUP($G21,[2]Proveedores!A:L,8,FALSE),"")</f>
        <v>CMG</v>
      </c>
      <c r="N21" s="9">
        <v>705840</v>
      </c>
      <c r="O21">
        <v>21</v>
      </c>
      <c r="P21" s="9">
        <v>148226.4</v>
      </c>
      <c r="Q21" s="9">
        <f>IF([2]!Facturas_Compras3[[#This Row],[Fecha Emisión]]&lt;&gt;"",[2]!Facturas_Compras3[[#This Row],[IVA Liquidado]],"")</f>
        <v>148226.4</v>
      </c>
      <c r="U21" s="9"/>
      <c r="V21" s="9"/>
      <c r="W21" s="9">
        <f>IF([2]!Facturas_Compras3[[#This Row],[Fecha Emisión]]&lt;&gt;"",IF(N21&gt;0,SUM(N21,Q21,S21,U21),IF(SUM(S21,U21)&gt;0,(SUM(S21,U21)),"")),"")</f>
        <v>854066.4</v>
      </c>
    </row>
    <row r="22" spans="1:23" x14ac:dyDescent="0.25">
      <c r="A22" s="5">
        <v>46088</v>
      </c>
      <c r="B22" s="5">
        <f>IF([2]!Facturas_Compras3[[#This Row],[Fecha Emisión]]&lt;&gt;"",[2]!Facturas_Compras3[[#This Row],[Fecha Emisión]],"")</f>
        <v>46088</v>
      </c>
      <c r="C22" t="s">
        <v>23</v>
      </c>
      <c r="D22" s="6" t="s">
        <v>24</v>
      </c>
      <c r="E22" s="7">
        <v>6</v>
      </c>
      <c r="F22" s="8">
        <v>1765164</v>
      </c>
      <c r="G22">
        <v>33578089239</v>
      </c>
      <c r="H22" t="str">
        <f>IF([2]!Facturas_Compras3[[#This Row],[Fecha Emisión]]&lt;&gt;0,VLOOKUP(G22,[2]Proveedores!A:L,2,FALSE),"")</f>
        <v xml:space="preserve">HIJOS DE ROBERTO CANCIO DEMONTE SA </v>
      </c>
      <c r="I22" t="str">
        <f>IF([2]!Facturas_Compras3[[#This Row],[Fecha Emisión]]&lt;&gt;0,VLOOKUP($G22,[2]Proveedores!A:L,4,FALSE),"")</f>
        <v>RUTA 12 KM 1026</v>
      </c>
      <c r="J22">
        <f>IF([2]!Facturas_Compras3[[#This Row],[Fecha Emisión]]&lt;&gt;0,VLOOKUP($G22,[2]Proveedores!A:L,5,FALSE),"")</f>
        <v>3400</v>
      </c>
      <c r="K22">
        <f>IF([2]!Facturas_Compras3[[#This Row],[Fecha Emisión]]&lt;&gt;0,VLOOKUP($G22,[2]Proveedores!A:L,6,FALSE),"")</f>
        <v>4</v>
      </c>
      <c r="L22" t="str">
        <f>IF([2]!Facturas_Compras3[[#This Row],[Fecha Emisión]]&lt;&gt;0,VLOOKUP($G22,[2]Proveedores!A:L,7,FALSE),"")</f>
        <v>RI</v>
      </c>
      <c r="M22" t="str">
        <f>IF([2]!Facturas_Compras3[[#This Row],[Fecha Emisión]]&lt;&gt;0,VLOOKUP($G22,[2]Proveedores!A:L,8,FALSE),"")</f>
        <v>CFM</v>
      </c>
      <c r="N22" s="9">
        <v>27431.360000000001</v>
      </c>
      <c r="O22">
        <v>21</v>
      </c>
      <c r="P22" s="9">
        <v>5760.59</v>
      </c>
      <c r="Q22" s="9">
        <f>IF([2]!Facturas_Compras3[[#This Row],[Fecha Emisión]]&lt;&gt;"",[2]!Facturas_Compras3[[#This Row],[IVA Liquidado]],"")</f>
        <v>5760.59</v>
      </c>
      <c r="U22" s="9"/>
      <c r="V22" s="9"/>
      <c r="W22" s="9">
        <f>IF([2]!Facturas_Compras3[[#This Row],[Fecha Emisión]]&lt;&gt;"",IF(N22&gt;0,SUM(N22,Q22,S22,U22),IF(SUM(S22,U22)&gt;0,(SUM(S22,U22)),"")),"")</f>
        <v>33191.949999999997</v>
      </c>
    </row>
    <row r="23" spans="1:23" x14ac:dyDescent="0.25">
      <c r="A23" s="5">
        <v>46090</v>
      </c>
      <c r="B23" s="5">
        <f>IF([2]!Facturas_Compras3[[#This Row],[Fecha Emisión]]&lt;&gt;"",[2]!Facturas_Compras3[[#This Row],[Fecha Emisión]],"")</f>
        <v>46090</v>
      </c>
      <c r="C23" t="s">
        <v>23</v>
      </c>
      <c r="D23" s="6" t="s">
        <v>24</v>
      </c>
      <c r="E23" s="7">
        <v>11</v>
      </c>
      <c r="F23" s="8">
        <v>4565</v>
      </c>
      <c r="G23">
        <v>33615447639</v>
      </c>
      <c r="H23" t="str">
        <f>IF([2]!Facturas_Compras3[[#This Row],[Fecha Emisión]]&lt;&gt;0,VLOOKUP(G23,[2]Proveedores!A:L,2,FALSE),"")</f>
        <v>CHACO RODAMIENTOS SA</v>
      </c>
      <c r="I23" t="str">
        <f>IF([2]!Facturas_Compras3[[#This Row],[Fecha Emisión]]&lt;&gt;0,VLOOKUP($G23,[2]Proveedores!A:L,4,FALSE),"")</f>
        <v>RUTA 11 KM 1006,5</v>
      </c>
      <c r="J23">
        <f>IF([2]!Facturas_Compras3[[#This Row],[Fecha Emisión]]&lt;&gt;0,VLOOKUP($G23,[2]Proveedores!A:L,5,FALSE),"")</f>
        <v>3500</v>
      </c>
      <c r="K23">
        <f>IF([2]!Facturas_Compras3[[#This Row],[Fecha Emisión]]&lt;&gt;0,VLOOKUP($G23,[2]Proveedores!A:L,6,FALSE),"")</f>
        <v>16</v>
      </c>
      <c r="L23" t="str">
        <f>IF([2]!Facturas_Compras3[[#This Row],[Fecha Emisión]]&lt;&gt;0,VLOOKUP($G23,[2]Proveedores!A:L,7,FALSE),"")</f>
        <v>RI</v>
      </c>
      <c r="M23" t="str">
        <f>IF([2]!Facturas_Compras3[[#This Row],[Fecha Emisión]]&lt;&gt;0,VLOOKUP($G23,[2]Proveedores!A:L,8,FALSE),"")</f>
        <v>CMG</v>
      </c>
      <c r="N23" s="9">
        <v>88781.27</v>
      </c>
      <c r="O23">
        <v>21</v>
      </c>
      <c r="P23" s="9">
        <v>18644.07</v>
      </c>
      <c r="Q23" s="9">
        <f>IF([2]!Facturas_Compras3[[#This Row],[Fecha Emisión]]&lt;&gt;"",[2]!Facturas_Compras3[[#This Row],[IVA Liquidado]],"")</f>
        <v>143990.93</v>
      </c>
      <c r="U23" s="9">
        <v>2574.66</v>
      </c>
      <c r="V23" s="9"/>
      <c r="W23" s="9">
        <f>IF([2]!Facturas_Compras3[[#This Row],[Fecha Emisión]]&lt;&gt;"",IF(N23&gt;0,SUM(N23,Q23,S23,U23),IF(SUM(S23,U23)&gt;0,(SUM(S23,U23)),"")),"")</f>
        <v>235346.86000000002</v>
      </c>
    </row>
    <row r="24" spans="1:23" x14ac:dyDescent="0.25">
      <c r="A24" s="5">
        <v>46090</v>
      </c>
      <c r="B24" s="5">
        <f>IF([2]!Facturas_Compras3[[#This Row],[Fecha Emisión]]&lt;&gt;"",[2]!Facturas_Compras3[[#This Row],[Fecha Emisión]],"")</f>
        <v>46090</v>
      </c>
      <c r="C24" t="s">
        <v>23</v>
      </c>
      <c r="D24" s="6" t="s">
        <v>24</v>
      </c>
      <c r="E24" s="7">
        <v>13</v>
      </c>
      <c r="F24" s="8">
        <v>579</v>
      </c>
      <c r="G24">
        <v>30636456248</v>
      </c>
      <c r="H24" t="str">
        <f>IF([2]!Facturas_Compras3[[#This Row],[Fecha Emisión]]&lt;&gt;0,VLOOKUP(G24,[2]Proveedores!A:L,2,FALSE),"")</f>
        <v>FRAS LE ARGENTINA SA</v>
      </c>
      <c r="I24" t="str">
        <f>IF([2]!Facturas_Compras3[[#This Row],[Fecha Emisión]]&lt;&gt;0,VLOOKUP($G24,[2]Proveedores!A:L,4,FALSE),"")</f>
        <v xml:space="preserve">COL OESTE RUTA PANAMERICANA </v>
      </c>
      <c r="J24">
        <f>IF([2]!Facturas_Compras3[[#This Row],[Fecha Emisión]]&lt;&gt;0,VLOOKUP($G24,[2]Proveedores!A:L,5,FALSE),"")</f>
        <v>1619</v>
      </c>
      <c r="K24">
        <f>IF([2]!Facturas_Compras3[[#This Row],[Fecha Emisión]]&lt;&gt;0,VLOOKUP($G24,[2]Proveedores!A:L,6,FALSE),"")</f>
        <v>1</v>
      </c>
      <c r="L24" t="str">
        <f>IF([2]!Facturas_Compras3[[#This Row],[Fecha Emisión]]&lt;&gt;0,VLOOKUP($G24,[2]Proveedores!A:L,7,FALSE),"")</f>
        <v>RI</v>
      </c>
      <c r="M24" t="str">
        <f>IF([2]!Facturas_Compras3[[#This Row],[Fecha Emisión]]&lt;&gt;0,VLOOKUP($G24,[2]Proveedores!A:L,8,FALSE),"")</f>
        <v>CMG</v>
      </c>
      <c r="N24" s="9">
        <v>685671.09</v>
      </c>
      <c r="O24">
        <v>21</v>
      </c>
      <c r="P24" s="9">
        <v>143990.93</v>
      </c>
      <c r="Q24" s="9">
        <f>IF([2]!Facturas_Compras3[[#This Row],[Fecha Emisión]]&lt;&gt;"",[2]!Facturas_Compras3[[#This Row],[IVA Liquidado]],"")</f>
        <v>18644.07</v>
      </c>
      <c r="U24" s="9"/>
      <c r="V24" s="9"/>
      <c r="W24" s="9">
        <f>IF([2]!Facturas_Compras3[[#This Row],[Fecha Emisión]]&lt;&gt;"",IF(N24&gt;0,SUM(N24,Q24,S24,U24),IF(SUM(S24,U24)&gt;0,(SUM(S24,U24)),"")),"")</f>
        <v>704315.15999999992</v>
      </c>
    </row>
    <row r="25" spans="1:23" x14ac:dyDescent="0.25">
      <c r="A25" s="5">
        <v>46091</v>
      </c>
      <c r="B25" s="5">
        <f>IF([2]!Facturas_Compras3[[#This Row],[Fecha Emisión]]&lt;&gt;"",[2]!Facturas_Compras3[[#This Row],[Fecha Emisión]],"")</f>
        <v>46091</v>
      </c>
      <c r="C25" t="s">
        <v>23</v>
      </c>
      <c r="D25" s="6" t="s">
        <v>24</v>
      </c>
      <c r="E25" s="7">
        <v>6</v>
      </c>
      <c r="F25" s="8">
        <v>1765896</v>
      </c>
      <c r="G25">
        <v>33578089239</v>
      </c>
      <c r="H25" t="str">
        <f>IF([2]!Facturas_Compras3[[#This Row],[Fecha Emisión]]&lt;&gt;0,VLOOKUP(G25,[2]Proveedores!A:L,2,FALSE),"")</f>
        <v xml:space="preserve">HIJOS DE ROBERTO CANCIO DEMONTE SA </v>
      </c>
      <c r="I25" t="str">
        <f>IF([2]!Facturas_Compras3[[#This Row],[Fecha Emisión]]&lt;&gt;0,VLOOKUP($G25,[2]Proveedores!A:L,4,FALSE),"")</f>
        <v>RUTA 12 KM 1026</v>
      </c>
      <c r="J25">
        <f>IF([2]!Facturas_Compras3[[#This Row],[Fecha Emisión]]&lt;&gt;0,VLOOKUP($G25,[2]Proveedores!A:L,5,FALSE),"")</f>
        <v>3400</v>
      </c>
      <c r="K25">
        <f>IF([2]!Facturas_Compras3[[#This Row],[Fecha Emisión]]&lt;&gt;0,VLOOKUP($G25,[2]Proveedores!A:L,6,FALSE),"")</f>
        <v>4</v>
      </c>
      <c r="L25" t="str">
        <f>IF([2]!Facturas_Compras3[[#This Row],[Fecha Emisión]]&lt;&gt;0,VLOOKUP($G25,[2]Proveedores!A:L,7,FALSE),"")</f>
        <v>RI</v>
      </c>
      <c r="M25" t="str">
        <f>IF([2]!Facturas_Compras3[[#This Row],[Fecha Emisión]]&lt;&gt;0,VLOOKUP($G25,[2]Proveedores!A:L,8,FALSE),"")</f>
        <v>CFM</v>
      </c>
      <c r="N25" s="9">
        <v>21688.73</v>
      </c>
      <c r="O25">
        <v>21</v>
      </c>
      <c r="P25" s="9">
        <v>4554.63</v>
      </c>
      <c r="Q25" s="9">
        <f>IF([2]!Facturas_Compras3[[#This Row],[Fecha Emisión]]&lt;&gt;"",[2]!Facturas_Compras3[[#This Row],[IVA Liquidado]],"")</f>
        <v>4554.63</v>
      </c>
      <c r="U25" s="9"/>
      <c r="V25" s="9"/>
      <c r="W25" s="9">
        <f>IF([2]!Facturas_Compras3[[#This Row],[Fecha Emisión]]&lt;&gt;"",IF(N25&gt;0,SUM(N25,Q25,S25,U25),IF(SUM(S25,U25)&gt;0,(SUM(S25,U25)),"")),"")</f>
        <v>26243.360000000001</v>
      </c>
    </row>
    <row r="26" spans="1:23" x14ac:dyDescent="0.25">
      <c r="A26" s="5">
        <v>46092</v>
      </c>
      <c r="B26" s="5">
        <f>IF([2]!Facturas_Compras3[[#This Row],[Fecha Emisión]]&lt;&gt;"",[2]!Facturas_Compras3[[#This Row],[Fecha Emisión]],"")</f>
        <v>46092</v>
      </c>
      <c r="C26" t="s">
        <v>23</v>
      </c>
      <c r="D26" s="6" t="s">
        <v>24</v>
      </c>
      <c r="E26" s="7">
        <v>4</v>
      </c>
      <c r="F26" s="8">
        <v>16967</v>
      </c>
      <c r="G26">
        <v>30621532983</v>
      </c>
      <c r="H26" t="str">
        <f>IF([2]!Facturas_Compras3[[#This Row],[Fecha Emisión]]&lt;&gt;0,VLOOKUP(G26,[2]Proveedores!A:L,2,FALSE),"")</f>
        <v>WOLSE SRL</v>
      </c>
      <c r="I26" t="str">
        <f>IF([2]!Facturas_Compras3[[#This Row],[Fecha Emisión]]&lt;&gt;0,VLOOKUP($G26,[2]Proveedores!A:L,4,FALSE),"")</f>
        <v>AV. MEDRANO 362</v>
      </c>
      <c r="J26">
        <f>IF([2]!Facturas_Compras3[[#This Row],[Fecha Emisión]]&lt;&gt;0,VLOOKUP($G26,[2]Proveedores!A:L,5,FALSE),"")</f>
        <v>1179</v>
      </c>
      <c r="K26">
        <f>IF([2]!Facturas_Compras3[[#This Row],[Fecha Emisión]]&lt;&gt;0,VLOOKUP($G26,[2]Proveedores!A:L,6,FALSE),"")</f>
        <v>1</v>
      </c>
      <c r="L26" t="str">
        <f>IF([2]!Facturas_Compras3[[#This Row],[Fecha Emisión]]&lt;&gt;0,VLOOKUP($G26,[2]Proveedores!A:L,7,FALSE),"")</f>
        <v>RI</v>
      </c>
      <c r="M26" t="str">
        <f>IF([2]!Facturas_Compras3[[#This Row],[Fecha Emisión]]&lt;&gt;0,VLOOKUP($G26,[2]Proveedores!A:L,8,FALSE),"")</f>
        <v>CMG</v>
      </c>
      <c r="N26" s="9">
        <v>174260.59</v>
      </c>
      <c r="O26">
        <v>21</v>
      </c>
      <c r="P26" s="9">
        <v>36594.720000000001</v>
      </c>
      <c r="Q26" s="9">
        <f>IF([2]!Facturas_Compras3[[#This Row],[Fecha Emisión]]&lt;&gt;"",[2]!Facturas_Compras3[[#This Row],[IVA Liquidado]],"")</f>
        <v>36594.720000000001</v>
      </c>
      <c r="U26" s="9"/>
      <c r="V26" s="9"/>
      <c r="W26" s="9">
        <f>IF([2]!Facturas_Compras3[[#This Row],[Fecha Emisión]]&lt;&gt;"",IF(N26&gt;0,SUM(N26,Q26,S26,U26),IF(SUM(S26,U26)&gt;0,(SUM(S26,U26)),"")),"")</f>
        <v>210855.31</v>
      </c>
    </row>
    <row r="27" spans="1:23" x14ac:dyDescent="0.25">
      <c r="A27" s="5">
        <v>46092</v>
      </c>
      <c r="B27" s="5">
        <f>IF([2]!Facturas_Compras3[[#This Row],[Fecha Emisión]]&lt;&gt;"",[2]!Facturas_Compras3[[#This Row],[Fecha Emisión]],"")</f>
        <v>46092</v>
      </c>
      <c r="C27" t="s">
        <v>23</v>
      </c>
      <c r="D27" s="6" t="s">
        <v>24</v>
      </c>
      <c r="E27" s="7">
        <v>17</v>
      </c>
      <c r="F27" s="8">
        <v>19357</v>
      </c>
      <c r="G27">
        <v>30714714984</v>
      </c>
      <c r="H27" t="str">
        <f>IF([2]!Facturas_Compras3[[#This Row],[Fecha Emisión]]&lt;&gt;0,VLOOKUP(G27,[2]Proveedores!A:L,2,FALSE),"")</f>
        <v>LUMINUM SRL</v>
      </c>
      <c r="I27" t="str">
        <f>IF([2]!Facturas_Compras3[[#This Row],[Fecha Emisión]]&lt;&gt;0,VLOOKUP($G27,[2]Proveedores!A:L,4,FALSE),"")</f>
        <v>AV SARMIENTO 1798</v>
      </c>
      <c r="J27">
        <f>IF([2]!Facturas_Compras3[[#This Row],[Fecha Emisión]]&lt;&gt;0,VLOOKUP($G27,[2]Proveedores!A:L,5,FALSE),"")</f>
        <v>3500</v>
      </c>
      <c r="K27">
        <f>IF([2]!Facturas_Compras3[[#This Row],[Fecha Emisión]]&lt;&gt;0,VLOOKUP($G27,[2]Proveedores!A:L,6,FALSE),"")</f>
        <v>16</v>
      </c>
      <c r="L27" t="str">
        <f>IF([2]!Facturas_Compras3[[#This Row],[Fecha Emisión]]&lt;&gt;0,VLOOKUP($G27,[2]Proveedores!A:L,7,FALSE),"")</f>
        <v>RI</v>
      </c>
      <c r="M27" t="str">
        <f>IF([2]!Facturas_Compras3[[#This Row],[Fecha Emisión]]&lt;&gt;0,VLOOKUP($G27,[2]Proveedores!A:L,8,FALSE),"")</f>
        <v>CGC</v>
      </c>
      <c r="N27" s="9">
        <v>45844.53</v>
      </c>
      <c r="O27">
        <v>21</v>
      </c>
      <c r="P27" s="9">
        <v>9627.35</v>
      </c>
      <c r="Q27" s="9">
        <f>IF([2]!Facturas_Compras3[[#This Row],[Fecha Emisión]]&lt;&gt;"",[2]!Facturas_Compras3[[#This Row],[IVA Liquidado]],"")</f>
        <v>9627.35</v>
      </c>
      <c r="U27" s="9">
        <f>8980.11+550.1</f>
        <v>9530.2100000000009</v>
      </c>
      <c r="V27" s="9"/>
      <c r="W27" s="9">
        <f>IF([2]!Facturas_Compras3[[#This Row],[Fecha Emisión]]&lt;&gt;"",IF(N27&gt;0,SUM(N27,Q27,S27,U27),IF(SUM(S27,U27)&gt;0,(SUM(S27,U27)),"")),"")</f>
        <v>65002.09</v>
      </c>
    </row>
    <row r="28" spans="1:23" x14ac:dyDescent="0.25">
      <c r="A28" s="5">
        <v>46092</v>
      </c>
      <c r="B28" s="5">
        <f>IF([2]!Facturas_Compras3[[#This Row],[Fecha Emisión]]&lt;&gt;"",[2]!Facturas_Compras3[[#This Row],[Fecha Emisión]],"")</f>
        <v>46092</v>
      </c>
      <c r="C28" t="s">
        <v>23</v>
      </c>
      <c r="D28" s="6" t="s">
        <v>24</v>
      </c>
      <c r="E28" s="7">
        <v>8</v>
      </c>
      <c r="F28" s="8">
        <v>1199</v>
      </c>
      <c r="G28">
        <v>20366060902</v>
      </c>
      <c r="H28" t="str">
        <f>IF([2]!Facturas_Compras3[[#This Row],[Fecha Emisión]]&lt;&gt;0,VLOOKUP(G28,[2]Proveedores!A:L,2,FALSE),"")</f>
        <v>YEVARA AGUSTIN ALEJANDRO</v>
      </c>
      <c r="I28" t="str">
        <f>IF([2]!Facturas_Compras3[[#This Row],[Fecha Emisión]]&lt;&gt;0,VLOOKUP($G28,[2]Proveedores!A:L,4,FALSE),"")</f>
        <v>FRENCH 256</v>
      </c>
      <c r="J28">
        <f>IF([2]!Facturas_Compras3[[#This Row],[Fecha Emisión]]&lt;&gt;0,VLOOKUP($G28,[2]Proveedores!A:L,5,FALSE),"")</f>
        <v>3500</v>
      </c>
      <c r="K28">
        <f>IF([2]!Facturas_Compras3[[#This Row],[Fecha Emisión]]&lt;&gt;0,VLOOKUP($G28,[2]Proveedores!A:L,6,FALSE),"")</f>
        <v>16</v>
      </c>
      <c r="L28" t="str">
        <f>IF([2]!Facturas_Compras3[[#This Row],[Fecha Emisión]]&lt;&gt;0,VLOOKUP($G28,[2]Proveedores!A:L,7,FALSE),"")</f>
        <v>RI</v>
      </c>
      <c r="M28" t="str">
        <f>IF([2]!Facturas_Compras3[[#This Row],[Fecha Emisión]]&lt;&gt;0,VLOOKUP($G28,[2]Proveedores!A:L,8,FALSE),"")</f>
        <v>GPU</v>
      </c>
      <c r="N28" s="9">
        <v>2390.54</v>
      </c>
      <c r="O28">
        <v>21</v>
      </c>
      <c r="P28" s="9">
        <v>2892.56</v>
      </c>
      <c r="Q28" s="9">
        <f>IF([2]!Facturas_Compras3[[#This Row],[Fecha Emisión]]&lt;&gt;"",[2]!Facturas_Compras3[[#This Row],[IVA Liquidado]],"")</f>
        <v>2892.56</v>
      </c>
      <c r="U28" s="9"/>
      <c r="V28" s="9"/>
      <c r="W28" s="9">
        <v>3500</v>
      </c>
    </row>
    <row r="29" spans="1:23" x14ac:dyDescent="0.25">
      <c r="A29" s="5">
        <v>46092</v>
      </c>
      <c r="B29" s="5">
        <f>IF([2]!Facturas_Compras3[[#This Row],[Fecha Emisión]]&lt;&gt;"",[2]!Facturas_Compras3[[#This Row],[Fecha Emisión]],"")</f>
        <v>46092</v>
      </c>
      <c r="C29" t="s">
        <v>23</v>
      </c>
      <c r="D29" s="6" t="s">
        <v>24</v>
      </c>
      <c r="E29" s="7">
        <v>6</v>
      </c>
      <c r="F29" s="8">
        <v>1766556</v>
      </c>
      <c r="G29">
        <v>33578089239</v>
      </c>
      <c r="H29" t="str">
        <f>IF([2]!Facturas_Compras3[[#This Row],[Fecha Emisión]]&lt;&gt;0,VLOOKUP(G29,[2]Proveedores!A:L,2,FALSE),"")</f>
        <v xml:space="preserve">HIJOS DE ROBERTO CANCIO DEMONTE SA </v>
      </c>
      <c r="I29" t="str">
        <f>IF([2]!Facturas_Compras3[[#This Row],[Fecha Emisión]]&lt;&gt;0,VLOOKUP($G29,[2]Proveedores!A:L,4,FALSE),"")</f>
        <v>RUTA 12 KM 1026</v>
      </c>
      <c r="J29">
        <f>IF([2]!Facturas_Compras3[[#This Row],[Fecha Emisión]]&lt;&gt;0,VLOOKUP($G29,[2]Proveedores!A:L,5,FALSE),"")</f>
        <v>3400</v>
      </c>
      <c r="K29">
        <f>IF([2]!Facturas_Compras3[[#This Row],[Fecha Emisión]]&lt;&gt;0,VLOOKUP($G29,[2]Proveedores!A:L,6,FALSE),"")</f>
        <v>4</v>
      </c>
      <c r="L29" t="str">
        <f>IF([2]!Facturas_Compras3[[#This Row],[Fecha Emisión]]&lt;&gt;0,VLOOKUP($G29,[2]Proveedores!A:L,7,FALSE),"")</f>
        <v>RI</v>
      </c>
      <c r="M29" t="str">
        <f>IF([2]!Facturas_Compras3[[#This Row],[Fecha Emisión]]&lt;&gt;0,VLOOKUP($G29,[2]Proveedores!A:L,8,FALSE),"")</f>
        <v>CFM</v>
      </c>
      <c r="N29" s="9">
        <v>17889.5</v>
      </c>
      <c r="O29">
        <v>21</v>
      </c>
      <c r="P29" s="9">
        <v>3756.8</v>
      </c>
      <c r="Q29" s="9">
        <f>IF([2]!Facturas_Compras3[[#This Row],[Fecha Emisión]]&lt;&gt;"",[2]!Facturas_Compras3[[#This Row],[IVA Liquidado]],"")</f>
        <v>3756.8</v>
      </c>
      <c r="U29" s="9"/>
      <c r="V29" s="9"/>
      <c r="W29" s="9">
        <f>IF([2]!Facturas_Compras3[[#This Row],[Fecha Emisión]]&lt;&gt;"",IF(N29&gt;0,SUM(N29,Q29,S29,U29),IF(SUM(S29,U29)&gt;0,(SUM(S29,U29)),"")),"")</f>
        <v>21646.3</v>
      </c>
    </row>
    <row r="30" spans="1:23" x14ac:dyDescent="0.25">
      <c r="A30" s="5">
        <v>46092</v>
      </c>
      <c r="B30" s="5">
        <f>IF([2]!Facturas_Compras3[[#This Row],[Fecha Emisión]]&lt;&gt;"",[2]!Facturas_Compras3[[#This Row],[Fecha Emisión]],"")</f>
        <v>46093</v>
      </c>
      <c r="C30" t="s">
        <v>25</v>
      </c>
      <c r="D30" s="6" t="s">
        <v>24</v>
      </c>
      <c r="E30" s="7">
        <v>2</v>
      </c>
      <c r="F30" s="8">
        <v>1056</v>
      </c>
      <c r="G30">
        <v>30710906986</v>
      </c>
      <c r="H30" t="str">
        <f>IF([2]!Facturas_Compras3[[#This Row],[Fecha Emisión]]&lt;&gt;0,VLOOKUP(G30,[2]Proveedores!A:L,2,FALSE),"")</f>
        <v>NEO TRUCK SA</v>
      </c>
      <c r="I30" t="str">
        <f>IF([2]!Facturas_Compras3[[#This Row],[Fecha Emisión]]&lt;&gt;0,VLOOKUP($G30,[2]Proveedores!A:L,4,FALSE),"")</f>
        <v>FCO SOLANO LOPEZ 2179/83</v>
      </c>
      <c r="J30">
        <f>IF([2]!Facturas_Compras3[[#This Row],[Fecha Emisión]]&lt;&gt;0,VLOOKUP($G30,[2]Proveedores!A:L,5,FALSE),"")</f>
        <v>1419</v>
      </c>
      <c r="K30">
        <f>IF([2]!Facturas_Compras3[[#This Row],[Fecha Emisión]]&lt;&gt;0,VLOOKUP($G30,[2]Proveedores!A:L,6,FALSE),"")</f>
        <v>1</v>
      </c>
      <c r="L30" t="str">
        <f>IF([2]!Facturas_Compras3[[#This Row],[Fecha Emisión]]&lt;&gt;0,VLOOKUP($G30,[2]Proveedores!A:L,7,FALSE),"")</f>
        <v>RI</v>
      </c>
      <c r="M30" t="str">
        <f>IF([2]!Facturas_Compras3[[#This Row],[Fecha Emisión]]&lt;&gt;0,VLOOKUP($G30,[2]Proveedores!A:L,8,FALSE),"")</f>
        <v>CMG</v>
      </c>
      <c r="N30" s="9">
        <v>216376.03</v>
      </c>
      <c r="O30">
        <v>21</v>
      </c>
      <c r="P30" s="9">
        <v>45438.97</v>
      </c>
      <c r="Q30" s="9">
        <f>IF([2]!Facturas_Compras3[[#This Row],[Fecha Emisión]]&lt;&gt;"",[2]!Facturas_Compras3[[#This Row],[IVA Liquidado]],"")</f>
        <v>2202.04</v>
      </c>
      <c r="U30" s="9"/>
      <c r="V30" s="9"/>
      <c r="W30" s="9">
        <v>261815</v>
      </c>
    </row>
    <row r="31" spans="1:23" x14ac:dyDescent="0.25">
      <c r="A31" s="5">
        <v>46093</v>
      </c>
      <c r="B31" s="5">
        <f>IF([2]!Facturas_Compras3[[#This Row],[Fecha Emisión]]&lt;&gt;"",[2]!Facturas_Compras3[[#This Row],[Fecha Emisión]],"")</f>
        <v>46098</v>
      </c>
      <c r="C31" t="s">
        <v>23</v>
      </c>
      <c r="D31" s="6" t="s">
        <v>24</v>
      </c>
      <c r="E31" s="7">
        <v>6</v>
      </c>
      <c r="F31" s="8">
        <v>1767052</v>
      </c>
      <c r="G31">
        <v>33578089239</v>
      </c>
      <c r="H31" t="str">
        <f>IF([2]!Facturas_Compras3[[#This Row],[Fecha Emisión]]&lt;&gt;0,VLOOKUP(G31,[2]Proveedores!A:L,2,FALSE),"")</f>
        <v xml:space="preserve">HIJOS DE ROBERTO CANCIO DEMONTE SA </v>
      </c>
      <c r="I31" t="str">
        <f>IF([2]!Facturas_Compras3[[#This Row],[Fecha Emisión]]&lt;&gt;0,VLOOKUP($G31,[2]Proveedores!A:L,4,FALSE),"")</f>
        <v>RUTA 12 KM 1026</v>
      </c>
      <c r="J31">
        <f>IF([2]!Facturas_Compras3[[#This Row],[Fecha Emisión]]&lt;&gt;0,VLOOKUP($G31,[2]Proveedores!A:L,5,FALSE),"")</f>
        <v>3400</v>
      </c>
      <c r="K31">
        <f>IF([2]!Facturas_Compras3[[#This Row],[Fecha Emisión]]&lt;&gt;0,VLOOKUP($G31,[2]Proveedores!A:L,6,FALSE),"")</f>
        <v>4</v>
      </c>
      <c r="L31" t="str">
        <f>IF([2]!Facturas_Compras3[[#This Row],[Fecha Emisión]]&lt;&gt;0,VLOOKUP($G31,[2]Proveedores!A:L,7,FALSE),"")</f>
        <v>RI</v>
      </c>
      <c r="M31" t="str">
        <f>IF([2]!Facturas_Compras3[[#This Row],[Fecha Emisión]]&lt;&gt;0,VLOOKUP($G31,[2]Proveedores!A:L,8,FALSE),"")</f>
        <v>CFM</v>
      </c>
      <c r="N31" s="9">
        <v>10485.9</v>
      </c>
      <c r="O31">
        <v>21</v>
      </c>
      <c r="P31" s="9">
        <v>2202.04</v>
      </c>
      <c r="Q31" s="9">
        <f>IF([2]!Facturas_Compras3[[#This Row],[Fecha Emisión]]&lt;&gt;"",[2]!Facturas_Compras3[[#This Row],[IVA Liquidado]],"")</f>
        <v>2584.75</v>
      </c>
      <c r="U31" s="9"/>
      <c r="V31" s="9"/>
      <c r="W31" s="9">
        <f>IF([2]!Facturas_Compras3[[#This Row],[Fecha Emisión]]&lt;&gt;"",IF(N31&gt;0,SUM(N31,Q31,S31,U31),IF(SUM(S31,U31)&gt;0,(SUM(S31,U31)),"")),"")</f>
        <v>13070.65</v>
      </c>
    </row>
    <row r="32" spans="1:23" x14ac:dyDescent="0.25">
      <c r="A32" s="5">
        <v>46098</v>
      </c>
      <c r="B32" s="5">
        <f>IF([2]!Facturas_Compras3[[#This Row],[Fecha Emisión]]&lt;&gt;"",[2]!Facturas_Compras3[[#This Row],[Fecha Emisión]],"")</f>
        <v>46092</v>
      </c>
      <c r="C32" t="s">
        <v>23</v>
      </c>
      <c r="D32" s="6" t="s">
        <v>24</v>
      </c>
      <c r="E32" s="7">
        <v>11</v>
      </c>
      <c r="F32" s="8">
        <v>4671</v>
      </c>
      <c r="G32">
        <v>33615447639</v>
      </c>
      <c r="H32" t="str">
        <f>IF([2]!Facturas_Compras3[[#This Row],[Fecha Emisión]]&lt;&gt;0,VLOOKUP(G32,[2]Proveedores!A:L,2,FALSE),"")</f>
        <v>CHACO RODAMIENTOS SA</v>
      </c>
      <c r="I32" t="str">
        <f>IF([2]!Facturas_Compras3[[#This Row],[Fecha Emisión]]&lt;&gt;0,VLOOKUP($G32,[2]Proveedores!A:L,4,FALSE),"")</f>
        <v>RUTA 11 KM 1006,5</v>
      </c>
      <c r="J32">
        <f>IF([2]!Facturas_Compras3[[#This Row],[Fecha Emisión]]&lt;&gt;0,VLOOKUP($G32,[2]Proveedores!A:L,5,FALSE),"")</f>
        <v>3500</v>
      </c>
      <c r="K32">
        <f>IF([2]!Facturas_Compras3[[#This Row],[Fecha Emisión]]&lt;&gt;0,VLOOKUP($G32,[2]Proveedores!A:L,6,FALSE),"")</f>
        <v>16</v>
      </c>
      <c r="L32" t="str">
        <f>IF([2]!Facturas_Compras3[[#This Row],[Fecha Emisión]]&lt;&gt;0,VLOOKUP($G32,[2]Proveedores!A:L,7,FALSE),"")</f>
        <v>RI</v>
      </c>
      <c r="M32" t="str">
        <f>IF([2]!Facturas_Compras3[[#This Row],[Fecha Emisión]]&lt;&gt;0,VLOOKUP($G32,[2]Proveedores!A:L,8,FALSE),"")</f>
        <v>CMG</v>
      </c>
      <c r="N32" s="9">
        <v>12308.31</v>
      </c>
      <c r="O32">
        <v>21</v>
      </c>
      <c r="P32" s="9">
        <v>2584.75</v>
      </c>
      <c r="Q32" s="9">
        <f>IF([2]!Facturas_Compras3[[#This Row],[Fecha Emisión]]&lt;&gt;"",[2]!Facturas_Compras3[[#This Row],[IVA Liquidado]],"")</f>
        <v>45438.97</v>
      </c>
      <c r="U32" s="9">
        <v>356.94</v>
      </c>
      <c r="V32" s="9"/>
      <c r="W32" s="9">
        <f>IF([2]!Facturas_Compras3[[#This Row],[Fecha Emisión]]&lt;&gt;"",IF(N32&gt;0,SUM(N32,Q32,S32,U32),IF(SUM(S32,U32)&gt;0,(SUM(S32,U32)),"")),"")</f>
        <v>58104.22</v>
      </c>
    </row>
    <row r="33" spans="1:23" x14ac:dyDescent="0.25">
      <c r="A33" s="5">
        <v>46099</v>
      </c>
      <c r="B33" s="5">
        <f>IF([2]!Facturas_Compras3[[#This Row],[Fecha Emisión]]&lt;&gt;"",[2]!Facturas_Compras3[[#This Row],[Fecha Emisión]],"")</f>
        <v>46099</v>
      </c>
      <c r="C33" t="s">
        <v>23</v>
      </c>
      <c r="D33" s="6" t="s">
        <v>24</v>
      </c>
      <c r="E33" s="7">
        <v>11</v>
      </c>
      <c r="F33" s="8">
        <v>4708</v>
      </c>
      <c r="G33">
        <v>33615447639</v>
      </c>
      <c r="H33" t="str">
        <f>IF([2]!Facturas_Compras3[[#This Row],[Fecha Emisión]]&lt;&gt;0,VLOOKUP(G33,[2]Proveedores!A:L,2,FALSE),"")</f>
        <v>CHACO RODAMIENTOS SA</v>
      </c>
      <c r="I33" t="str">
        <f>IF([2]!Facturas_Compras3[[#This Row],[Fecha Emisión]]&lt;&gt;0,VLOOKUP($G33,[2]Proveedores!A:L,4,FALSE),"")</f>
        <v>RUTA 11 KM 1006,5</v>
      </c>
      <c r="J33">
        <f>IF([2]!Facturas_Compras3[[#This Row],[Fecha Emisión]]&lt;&gt;0,VLOOKUP($G33,[2]Proveedores!A:L,5,FALSE),"")</f>
        <v>3500</v>
      </c>
      <c r="K33">
        <f>IF([2]!Facturas_Compras3[[#This Row],[Fecha Emisión]]&lt;&gt;0,VLOOKUP($G33,[2]Proveedores!A:L,6,FALSE),"")</f>
        <v>16</v>
      </c>
      <c r="L33" t="str">
        <f>IF([2]!Facturas_Compras3[[#This Row],[Fecha Emisión]]&lt;&gt;0,VLOOKUP($G33,[2]Proveedores!A:L,7,FALSE),"")</f>
        <v>RI</v>
      </c>
      <c r="M33" t="str">
        <f>IF([2]!Facturas_Compras3[[#This Row],[Fecha Emisión]]&lt;&gt;0,VLOOKUP($G33,[2]Proveedores!A:L,8,FALSE),"")</f>
        <v>CMG</v>
      </c>
      <c r="N33" s="9">
        <v>9323.01</v>
      </c>
      <c r="O33">
        <v>21</v>
      </c>
      <c r="P33" s="9">
        <v>1957.84</v>
      </c>
      <c r="Q33" s="9">
        <f>IF([2]!Facturas_Compras3[[#This Row],[Fecha Emisión]]&lt;&gt;"",[2]!Facturas_Compras3[[#This Row],[IVA Liquidado]],"")</f>
        <v>1957.84</v>
      </c>
      <c r="U33" s="9"/>
      <c r="V33" s="9"/>
      <c r="W33" s="9">
        <f>IF([2]!Facturas_Compras3[[#This Row],[Fecha Emisión]]&lt;&gt;"",IF(N33&gt;0,SUM(N33,Q33,S33,U33),IF(SUM(S33,U33)&gt;0,(SUM(S33,U33)),"")),"")</f>
        <v>11280.85</v>
      </c>
    </row>
    <row r="34" spans="1:23" x14ac:dyDescent="0.25">
      <c r="A34" s="5">
        <v>46100</v>
      </c>
      <c r="B34" s="5">
        <f>IF([2]!Facturas_Compras3[[#This Row],[Fecha Emisión]]&lt;&gt;"",[2]!Facturas_Compras3[[#This Row],[Fecha Emisión]],"")</f>
        <v>46100</v>
      </c>
      <c r="C34" t="s">
        <v>23</v>
      </c>
      <c r="D34" s="6" t="s">
        <v>24</v>
      </c>
      <c r="E34" s="7">
        <v>5000</v>
      </c>
      <c r="F34" s="8">
        <v>1600</v>
      </c>
      <c r="G34">
        <v>30686978350</v>
      </c>
      <c r="H34" t="str">
        <f>IF([2]!Facturas_Compras3[[#This Row],[Fecha Emisión]]&lt;&gt;0,VLOOKUP(G34,[2]Proveedores!A:L,2,FALSE),"")</f>
        <v>SPEED BUSINESS SA</v>
      </c>
      <c r="I34" t="str">
        <f>IF([2]!Facturas_Compras3[[#This Row],[Fecha Emisión]]&lt;&gt;0,VLOOKUP($G34,[2]Proveedores!A:L,4,FALSE),"")</f>
        <v xml:space="preserve">FREY CAPELLI 60 </v>
      </c>
      <c r="J34">
        <f>IF([2]!Facturas_Compras3[[#This Row],[Fecha Emisión]]&lt;&gt;0,VLOOKUP($G34,[2]Proveedores!A:L,5,FALSE),"")</f>
        <v>3500</v>
      </c>
      <c r="K34">
        <f>IF([2]!Facturas_Compras3[[#This Row],[Fecha Emisión]]&lt;&gt;0,VLOOKUP($G34,[2]Proveedores!A:L,6,FALSE),"")</f>
        <v>16</v>
      </c>
      <c r="L34" t="str">
        <f>IF([2]!Facturas_Compras3[[#This Row],[Fecha Emisión]]&lt;&gt;0,VLOOKUP($G34,[2]Proveedores!A:L,7,FALSE),"")</f>
        <v>RI</v>
      </c>
      <c r="M34" t="str">
        <f>IF([2]!Facturas_Compras3[[#This Row],[Fecha Emisión]]&lt;&gt;0,VLOOKUP($G34,[2]Proveedores!A:L,8,FALSE),"")</f>
        <v>CGG</v>
      </c>
      <c r="N34" s="9">
        <v>17984.59</v>
      </c>
      <c r="O34">
        <v>21</v>
      </c>
      <c r="P34" s="9">
        <v>3776.77</v>
      </c>
      <c r="Q34" s="9">
        <f>IF([2]!Facturas_Compras3[[#This Row],[Fecha Emisión]]&lt;&gt;"",[2]!Facturas_Compras3[[#This Row],[IVA Liquidado]],"")</f>
        <v>3776.77</v>
      </c>
      <c r="U34" s="9"/>
      <c r="V34" s="9"/>
      <c r="W34" s="9">
        <f>IF([2]!Facturas_Compras3[[#This Row],[Fecha Emisión]]&lt;&gt;"",IF(N34&gt;0,SUM(N34,Q34,S34,U34),IF(SUM(S34,U34)&gt;0,(SUM(S34,U34)),"")),"")</f>
        <v>21761.360000000001</v>
      </c>
    </row>
    <row r="35" spans="1:23" x14ac:dyDescent="0.25">
      <c r="A35" s="5">
        <v>46100</v>
      </c>
      <c r="B35" s="5">
        <f>IF([2]!Facturas_Compras3[[#This Row],[Fecha Emisión]]&lt;&gt;"",[2]!Facturas_Compras3[[#This Row],[Fecha Emisión]],"")</f>
        <v>46100</v>
      </c>
      <c r="C35" t="s">
        <v>23</v>
      </c>
      <c r="D35" s="6" t="s">
        <v>24</v>
      </c>
      <c r="E35" s="7">
        <v>47</v>
      </c>
      <c r="F35" s="8">
        <v>903</v>
      </c>
      <c r="G35">
        <v>20079145514</v>
      </c>
      <c r="H35" t="str">
        <f>IF([2]!Facturas_Compras3[[#This Row],[Fecha Emisión]]&lt;&gt;0,VLOOKUP(G35,[2]Proveedores!A:L,2,FALSE),"")</f>
        <v>LUIS A CUADRADO</v>
      </c>
      <c r="I35" t="str">
        <f>IF([2]!Facturas_Compras3[[#This Row],[Fecha Emisión]]&lt;&gt;0,VLOOKUP($G35,[2]Proveedores!A:L,4,FALSE),"")</f>
        <v>J. D. PERON 445</v>
      </c>
      <c r="J35">
        <f>IF([2]!Facturas_Compras3[[#This Row],[Fecha Emisión]]&lt;&gt;0,VLOOKUP($G35,[2]Proveedores!A:L,5,FALSE),"")</f>
        <v>3500</v>
      </c>
      <c r="K35">
        <f>IF([2]!Facturas_Compras3[[#This Row],[Fecha Emisión]]&lt;&gt;0,VLOOKUP($G35,[2]Proveedores!A:L,6,FALSE),"")</f>
        <v>16</v>
      </c>
      <c r="L35" t="str">
        <f>IF([2]!Facturas_Compras3[[#This Row],[Fecha Emisión]]&lt;&gt;0,VLOOKUP($G35,[2]Proveedores!A:L,7,FALSE),"")</f>
        <v>RI</v>
      </c>
      <c r="M35" t="str">
        <f>IF([2]!Facturas_Compras3[[#This Row],[Fecha Emisión]]&lt;&gt;0,VLOOKUP($G35,[2]Proveedores!A:L,8,FALSE),"")</f>
        <v>RBU</v>
      </c>
      <c r="N35" s="9">
        <v>6130.75</v>
      </c>
      <c r="O35">
        <v>21</v>
      </c>
      <c r="P35" s="9">
        <v>643.73</v>
      </c>
      <c r="Q35" s="9">
        <f>IF([2]!Facturas_Compras3[[#This Row],[Fecha Emisión]]&lt;&gt;"",[2]!Facturas_Compras3[[#This Row],[IVA Liquidado]],"")</f>
        <v>643.73</v>
      </c>
      <c r="U35" s="9"/>
      <c r="V35" s="9"/>
      <c r="W35" s="9">
        <f>IF([2]!Facturas_Compras3[[#This Row],[Fecha Emisión]]&lt;&gt;"",IF(N35&gt;0,SUM(N35,Q35,S35,U35),IF(SUM(S35,U35)&gt;0,(SUM(S35,U35)),"")),"")</f>
        <v>6774.48</v>
      </c>
    </row>
    <row r="36" spans="1:23" x14ac:dyDescent="0.25">
      <c r="A36" s="5">
        <v>46100</v>
      </c>
      <c r="B36" s="5">
        <f>IF([2]!Facturas_Compras3[[#This Row],[Fecha Emisión]]&lt;&gt;"",[2]!Facturas_Compras3[[#This Row],[Fecha Emisión]],"")</f>
        <v>46100</v>
      </c>
      <c r="C36" t="s">
        <v>23</v>
      </c>
      <c r="D36" s="6" t="s">
        <v>24</v>
      </c>
      <c r="E36" s="7">
        <v>5000</v>
      </c>
      <c r="F36" s="8">
        <v>1599</v>
      </c>
      <c r="G36">
        <v>30686978350</v>
      </c>
      <c r="H36" t="str">
        <f>IF([2]!Facturas_Compras3[[#This Row],[Fecha Emisión]]&lt;&gt;0,VLOOKUP(G36,[2]Proveedores!A:L,2,FALSE),"")</f>
        <v>SPEED BUSINESS SA</v>
      </c>
      <c r="I36" t="str">
        <f>IF([2]!Facturas_Compras3[[#This Row],[Fecha Emisión]]&lt;&gt;0,VLOOKUP($G36,[2]Proveedores!A:L,4,FALSE),"")</f>
        <v xml:space="preserve">FREY CAPELLI 60 </v>
      </c>
      <c r="J36">
        <f>IF([2]!Facturas_Compras3[[#This Row],[Fecha Emisión]]&lt;&gt;0,VLOOKUP($G36,[2]Proveedores!A:L,5,FALSE),"")</f>
        <v>3500</v>
      </c>
      <c r="K36">
        <f>IF([2]!Facturas_Compras3[[#This Row],[Fecha Emisión]]&lt;&gt;0,VLOOKUP($G36,[2]Proveedores!A:L,6,FALSE),"")</f>
        <v>16</v>
      </c>
      <c r="L36" t="str">
        <f>IF([2]!Facturas_Compras3[[#This Row],[Fecha Emisión]]&lt;&gt;0,VLOOKUP($G36,[2]Proveedores!A:L,7,FALSE),"")</f>
        <v>RI</v>
      </c>
      <c r="M36" t="str">
        <f>IF([2]!Facturas_Compras3[[#This Row],[Fecha Emisión]]&lt;&gt;0,VLOOKUP($G36,[2]Proveedores!A:L,8,FALSE),"")</f>
        <v>CGG</v>
      </c>
      <c r="N36" s="9">
        <v>19254.439999999999</v>
      </c>
      <c r="O36">
        <v>21</v>
      </c>
      <c r="P36" s="9">
        <v>4043.43</v>
      </c>
      <c r="Q36" s="9">
        <f>IF([2]!Facturas_Compras3[[#This Row],[Fecha Emisión]]&lt;&gt;"",[2]!Facturas_Compras3[[#This Row],[IVA Liquidado]],"")</f>
        <v>4043.43</v>
      </c>
      <c r="U36" s="9"/>
      <c r="V36" s="9"/>
      <c r="W36" s="9">
        <f>IF([2]!Facturas_Compras3[[#This Row],[Fecha Emisión]]&lt;&gt;"",IF(N36&gt;0,SUM(N36,Q36,S36,U36),IF(SUM(S36,U36)&gt;0,(SUM(S36,U36)),"")),"")</f>
        <v>23297.87</v>
      </c>
    </row>
    <row r="37" spans="1:23" x14ac:dyDescent="0.25">
      <c r="A37" s="5">
        <v>46101</v>
      </c>
      <c r="B37" s="5">
        <f>IF([2]!Facturas_Compras3[[#This Row],[Fecha Emisión]]&lt;&gt;"",[2]!Facturas_Compras3[[#This Row],[Fecha Emisión]],"")</f>
        <v>46101</v>
      </c>
      <c r="C37" t="s">
        <v>23</v>
      </c>
      <c r="D37" s="6" t="s">
        <v>24</v>
      </c>
      <c r="E37" s="7">
        <v>6</v>
      </c>
      <c r="F37" s="8">
        <v>1771639</v>
      </c>
      <c r="G37">
        <v>33578089239</v>
      </c>
      <c r="H37" t="str">
        <f>IF([2]!Facturas_Compras3[[#This Row],[Fecha Emisión]]&lt;&gt;0,VLOOKUP(G37,[2]Proveedores!A:L,2,FALSE),"")</f>
        <v xml:space="preserve">HIJOS DE ROBERTO CANCIO DEMONTE SA </v>
      </c>
      <c r="I37" t="str">
        <f>IF([2]!Facturas_Compras3[[#This Row],[Fecha Emisión]]&lt;&gt;0,VLOOKUP($G37,[2]Proveedores!A:L,4,FALSE),"")</f>
        <v>RUTA 12 KM 1026</v>
      </c>
      <c r="J37">
        <f>IF([2]!Facturas_Compras3[[#This Row],[Fecha Emisión]]&lt;&gt;0,VLOOKUP($G37,[2]Proveedores!A:L,5,FALSE),"")</f>
        <v>3400</v>
      </c>
      <c r="K37">
        <f>IF([2]!Facturas_Compras3[[#This Row],[Fecha Emisión]]&lt;&gt;0,VLOOKUP($G37,[2]Proveedores!A:L,6,FALSE),"")</f>
        <v>4</v>
      </c>
      <c r="L37" t="str">
        <f>IF([2]!Facturas_Compras3[[#This Row],[Fecha Emisión]]&lt;&gt;0,VLOOKUP($G37,[2]Proveedores!A:L,7,FALSE),"")</f>
        <v>RI</v>
      </c>
      <c r="M37" t="str">
        <f>IF([2]!Facturas_Compras3[[#This Row],[Fecha Emisión]]&lt;&gt;0,VLOOKUP($G37,[2]Proveedores!A:L,8,FALSE),"")</f>
        <v>CFM</v>
      </c>
      <c r="N37" s="9">
        <v>9367.56</v>
      </c>
      <c r="O37">
        <v>21</v>
      </c>
      <c r="P37" s="9">
        <v>1967.19</v>
      </c>
      <c r="Q37" s="9">
        <f>IF([2]!Facturas_Compras3[[#This Row],[Fecha Emisión]]&lt;&gt;"",[2]!Facturas_Compras3[[#This Row],[IVA Liquidado]],"")</f>
        <v>1967.19</v>
      </c>
      <c r="U37" s="9"/>
      <c r="V37" s="9"/>
      <c r="W37" s="9">
        <f>IF([2]!Facturas_Compras3[[#This Row],[Fecha Emisión]]&lt;&gt;"",IF(N37&gt;0,SUM(N37,Q37,S37,U37),IF(SUM(S37,U37)&gt;0,(SUM(S37,U37)),"")),"")</f>
        <v>11334.75</v>
      </c>
    </row>
  </sheetData>
  <conditionalFormatting sqref="F1:F37">
    <cfRule type="duplicateValues" dxfId="0" priority="1"/>
  </conditionalFormatting>
  <dataValidations count="2">
    <dataValidation type="list" allowBlank="1" showInputMessage="1" showErrorMessage="1" sqref="C1:C37" xr:uid="{3A65FB70-8925-4A44-B1D9-574F58DF34A5}">
      <formula1>"Factura, Nota de Credito, Remito"</formula1>
    </dataValidation>
    <dataValidation type="list" allowBlank="1" showInputMessage="1" showErrorMessage="1" sqref="D2:D37" xr:uid="{F421E005-4229-4A7B-978A-F702E836168E}">
      <formula1>"A, NC, 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Torres</dc:creator>
  <cp:lastModifiedBy>Gabriel Torres</cp:lastModifiedBy>
  <dcterms:created xsi:type="dcterms:W3CDTF">2026-03-23T14:06:11Z</dcterms:created>
  <dcterms:modified xsi:type="dcterms:W3CDTF">2026-04-06T13:48:28Z</dcterms:modified>
</cp:coreProperties>
</file>